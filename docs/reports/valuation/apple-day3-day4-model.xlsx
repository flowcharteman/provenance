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eman9iine/Documents/CodeProjects/docs/reports/valuation/"/>
    </mc:Choice>
  </mc:AlternateContent>
  <xr:revisionPtr revIDLastSave="0" documentId="8_{CDAAB3B0-24B9-CE45-BB59-EDEADEEFC774}" xr6:coauthVersionLast="47" xr6:coauthVersionMax="47" xr10:uidLastSave="{00000000-0000-0000-0000-000000000000}"/>
  <bookViews>
    <workbookView xWindow="0" yWindow="880" windowWidth="34200" windowHeight="19680" xr2:uid="{00000000-000D-0000-FFFF-FFFF00000000}"/>
  </bookViews>
  <sheets>
    <sheet name="Inputs" sheetId="1" r:id="rId1"/>
    <sheet name="DCF" sheetId="2" r:id="rId2"/>
    <sheet name="LBO" sheetId="3" r:id="rId3"/>
    <sheet name="Comps" sheetId="4" r:id="rId4"/>
    <sheet name="Football Field" sheetId="5" r:id="rId5"/>
  </sheets>
  <definedNames>
    <definedName name="_xlnm._FilterDatabase" localSheetId="3" hidden="1">Comps!$A$1:$T$8</definedName>
    <definedName name="_xlnm._FilterDatabase" localSheetId="0" hidden="1">Inputs!$A$1:$G$81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5" i="5"/>
  <c r="D4" i="5"/>
  <c r="D3" i="5"/>
  <c r="D2" i="5"/>
  <c r="P8" i="4"/>
  <c r="J8" i="4"/>
  <c r="G8" i="4"/>
  <c r="H8" i="4" s="1"/>
  <c r="F8" i="4"/>
  <c r="E8" i="4"/>
  <c r="D8" i="4"/>
  <c r="J7" i="4"/>
  <c r="G7" i="4"/>
  <c r="H7" i="4" s="1"/>
  <c r="F7" i="4"/>
  <c r="E7" i="4"/>
  <c r="D7" i="4"/>
  <c r="K6" i="4"/>
  <c r="J6" i="4"/>
  <c r="G6" i="4"/>
  <c r="H6" i="4" s="1"/>
  <c r="F6" i="4"/>
  <c r="E6" i="4"/>
  <c r="P6" i="4" s="1"/>
  <c r="D6" i="4"/>
  <c r="J5" i="4"/>
  <c r="G5" i="4"/>
  <c r="H5" i="4" s="1"/>
  <c r="F5" i="4"/>
  <c r="E5" i="4"/>
  <c r="D5" i="4"/>
  <c r="J4" i="4"/>
  <c r="G4" i="4"/>
  <c r="H4" i="4" s="1"/>
  <c r="I4" i="4" s="1"/>
  <c r="F4" i="4"/>
  <c r="E4" i="4"/>
  <c r="D4" i="4"/>
  <c r="L3" i="4"/>
  <c r="K3" i="4"/>
  <c r="J3" i="4"/>
  <c r="G3" i="4"/>
  <c r="H3" i="4" s="1"/>
  <c r="F3" i="4"/>
  <c r="E3" i="4"/>
  <c r="D3" i="4"/>
  <c r="L2" i="4"/>
  <c r="K2" i="4"/>
  <c r="J2" i="4"/>
  <c r="C5" i="5" s="1"/>
  <c r="F5" i="5" s="1"/>
  <c r="G2" i="4"/>
  <c r="H2" i="4" s="1"/>
  <c r="I2" i="4" s="1"/>
  <c r="F2" i="4"/>
  <c r="E2" i="4"/>
  <c r="D2" i="4"/>
  <c r="B49" i="3"/>
  <c r="F45" i="3"/>
  <c r="E45" i="3"/>
  <c r="D45" i="3"/>
  <c r="C45" i="3"/>
  <c r="B40" i="3"/>
  <c r="B16" i="3"/>
  <c r="B15" i="3"/>
  <c r="B6" i="3"/>
  <c r="B4" i="3"/>
  <c r="B3" i="3"/>
  <c r="B5" i="3" s="1"/>
  <c r="B32" i="2"/>
  <c r="B29" i="2"/>
  <c r="B25" i="2"/>
  <c r="F16" i="2"/>
  <c r="E16" i="2"/>
  <c r="D16" i="2"/>
  <c r="C16" i="2"/>
  <c r="B16" i="2"/>
  <c r="B14" i="2"/>
  <c r="B19" i="2" s="1"/>
  <c r="B22" i="3" s="1"/>
  <c r="F13" i="2"/>
  <c r="E13" i="2"/>
  <c r="D13" i="2"/>
  <c r="C13" i="2"/>
  <c r="B13" i="2"/>
  <c r="B7" i="2"/>
  <c r="B6" i="2"/>
  <c r="B4" i="2"/>
  <c r="B5" i="2" s="1"/>
  <c r="B3" i="2"/>
  <c r="C122" i="1"/>
  <c r="L8" i="4" s="1"/>
  <c r="C121" i="1"/>
  <c r="K8" i="4" s="1"/>
  <c r="C116" i="1"/>
  <c r="L7" i="4" s="1"/>
  <c r="C112" i="1"/>
  <c r="K7" i="4" s="1"/>
  <c r="C106" i="1"/>
  <c r="L6" i="4" s="1"/>
  <c r="C95" i="1"/>
  <c r="L5" i="4" s="1"/>
  <c r="C94" i="1"/>
  <c r="K5" i="4" s="1"/>
  <c r="C87" i="1"/>
  <c r="L4" i="4" s="1"/>
  <c r="C86" i="1"/>
  <c r="K4" i="4" s="1"/>
  <c r="C72" i="1"/>
  <c r="B10" i="3" l="1"/>
  <c r="B26" i="3" s="1"/>
  <c r="I5" i="4"/>
  <c r="I8" i="4"/>
  <c r="B9" i="3"/>
  <c r="B25" i="3" s="1"/>
  <c r="P7" i="4"/>
  <c r="M6" i="4"/>
  <c r="O6" i="4" s="1"/>
  <c r="Q6" i="4" s="1"/>
  <c r="I3" i="4"/>
  <c r="I6" i="4"/>
  <c r="M5" i="4"/>
  <c r="B15" i="2"/>
  <c r="B20" i="3" s="1"/>
  <c r="P5" i="4"/>
  <c r="B20" i="2"/>
  <c r="B21" i="2" s="1"/>
  <c r="B23" i="3" s="1"/>
  <c r="B8" i="2"/>
  <c r="B27" i="3"/>
  <c r="B19" i="3"/>
  <c r="P2" i="4"/>
  <c r="M7" i="4"/>
  <c r="O7" i="4" s="1"/>
  <c r="Q7" i="4" s="1"/>
  <c r="M2" i="4"/>
  <c r="O2" i="4" s="1"/>
  <c r="Q2" i="4" s="1"/>
  <c r="B5" i="5"/>
  <c r="B18" i="2"/>
  <c r="B21" i="3" s="1"/>
  <c r="B24" i="3" s="1"/>
  <c r="O5" i="4"/>
  <c r="Q5" i="4" s="1"/>
  <c r="N5" i="4"/>
  <c r="R5" i="4" s="1"/>
  <c r="I7" i="4"/>
  <c r="G5" i="5"/>
  <c r="E5" i="5"/>
  <c r="B10" i="2"/>
  <c r="B7" i="3"/>
  <c r="P3" i="4"/>
  <c r="H5" i="5"/>
  <c r="B9" i="2"/>
  <c r="B30" i="2"/>
  <c r="B17" i="2"/>
  <c r="B8" i="3"/>
  <c r="B11" i="3" s="1"/>
  <c r="B45" i="3" s="1"/>
  <c r="B32" i="3"/>
  <c r="P4" i="4"/>
  <c r="B28" i="3"/>
  <c r="B29" i="3" s="1"/>
  <c r="B30" i="3" s="1"/>
  <c r="M8" i="4"/>
  <c r="M4" i="4"/>
  <c r="M3" i="4"/>
  <c r="C14" i="2"/>
  <c r="N6" i="4" l="1"/>
  <c r="R6" i="4" s="1"/>
  <c r="B22" i="2"/>
  <c r="N2" i="4"/>
  <c r="R2" i="4" s="1"/>
  <c r="B31" i="3"/>
  <c r="N7" i="4"/>
  <c r="R7" i="4" s="1"/>
  <c r="B23" i="2"/>
  <c r="B12" i="3"/>
  <c r="C19" i="2"/>
  <c r="C22" i="3" s="1"/>
  <c r="D14" i="2"/>
  <c r="C19" i="3"/>
  <c r="C18" i="2"/>
  <c r="C21" i="3" s="1"/>
  <c r="C15" i="2"/>
  <c r="C20" i="2"/>
  <c r="C21" i="2" s="1"/>
  <c r="C23" i="3" s="1"/>
  <c r="B33" i="3"/>
  <c r="B34" i="3" s="1"/>
  <c r="B36" i="3" s="1"/>
  <c r="C26" i="3" s="1"/>
  <c r="A36" i="2"/>
  <c r="A37" i="2"/>
  <c r="A35" i="2"/>
  <c r="O3" i="4"/>
  <c r="Q3" i="4" s="1"/>
  <c r="N3" i="4"/>
  <c r="R3" i="4" s="1"/>
  <c r="O4" i="4"/>
  <c r="Q4" i="4" s="1"/>
  <c r="N4" i="4"/>
  <c r="R4" i="4" s="1"/>
  <c r="O8" i="4"/>
  <c r="Q8" i="4" s="1"/>
  <c r="N8" i="4"/>
  <c r="R8" i="4" s="1"/>
  <c r="B13" i="3"/>
  <c r="B14" i="3" s="1"/>
  <c r="C3" i="5" l="1"/>
  <c r="C4" i="5"/>
  <c r="F4" i="5" s="1"/>
  <c r="B3" i="5"/>
  <c r="E3" i="5"/>
  <c r="G3" i="5"/>
  <c r="H3" i="5"/>
  <c r="F3" i="5"/>
  <c r="C28" i="3"/>
  <c r="C17" i="2"/>
  <c r="C22" i="2" s="1"/>
  <c r="C20" i="3"/>
  <c r="B4" i="5"/>
  <c r="D19" i="2"/>
  <c r="D22" i="3" s="1"/>
  <c r="E14" i="2"/>
  <c r="D19" i="3"/>
  <c r="D20" i="2"/>
  <c r="D21" i="2" s="1"/>
  <c r="D23" i="3" s="1"/>
  <c r="D15" i="2"/>
  <c r="D18" i="2"/>
  <c r="D21" i="3" s="1"/>
  <c r="B35" i="3"/>
  <c r="E4" i="5" l="1"/>
  <c r="G4" i="5"/>
  <c r="B37" i="3"/>
  <c r="C25" i="3"/>
  <c r="C24" i="3"/>
  <c r="C23" i="2"/>
  <c r="D17" i="2"/>
  <c r="D22" i="2" s="1"/>
  <c r="D20" i="3"/>
  <c r="H4" i="5"/>
  <c r="E19" i="3"/>
  <c r="E20" i="2"/>
  <c r="E21" i="2" s="1"/>
  <c r="E23" i="3" s="1"/>
  <c r="E15" i="2"/>
  <c r="F14" i="2"/>
  <c r="E19" i="2"/>
  <c r="E22" i="3" s="1"/>
  <c r="E18" i="2"/>
  <c r="E21" i="3" s="1"/>
  <c r="D23" i="2" l="1"/>
  <c r="D24" i="3"/>
  <c r="F19" i="3"/>
  <c r="F20" i="2"/>
  <c r="F21" i="2" s="1"/>
  <c r="F23" i="3" s="1"/>
  <c r="F15" i="2"/>
  <c r="F18" i="2"/>
  <c r="F21" i="3" s="1"/>
  <c r="F19" i="2"/>
  <c r="F22" i="3" s="1"/>
  <c r="E17" i="2"/>
  <c r="E22" i="2" s="1"/>
  <c r="E23" i="2" s="1"/>
  <c r="E20" i="3"/>
  <c r="C27" i="3"/>
  <c r="C29" i="3" s="1"/>
  <c r="C30" i="3" s="1"/>
  <c r="C31" i="3" s="1"/>
  <c r="C32" i="3"/>
  <c r="E24" i="3" l="1"/>
  <c r="C33" i="3"/>
  <c r="C35" i="3" s="1"/>
  <c r="F17" i="2"/>
  <c r="F22" i="2" s="1"/>
  <c r="D37" i="2" s="1"/>
  <c r="F20" i="3"/>
  <c r="C37" i="2"/>
  <c r="B36" i="2" l="1"/>
  <c r="D35" i="2"/>
  <c r="C36" i="2"/>
  <c r="D36" i="2"/>
  <c r="B35" i="2"/>
  <c r="B2" i="5" s="1"/>
  <c r="D25" i="3"/>
  <c r="C2" i="5"/>
  <c r="F24" i="3"/>
  <c r="B39" i="3" s="1"/>
  <c r="B41" i="3" s="1"/>
  <c r="F23" i="2"/>
  <c r="B24" i="2" s="1"/>
  <c r="B26" i="2"/>
  <c r="B27" i="2" s="1"/>
  <c r="C35" i="2"/>
  <c r="B37" i="2"/>
  <c r="C34" i="3"/>
  <c r="C36" i="3" s="1"/>
  <c r="D26" i="3" s="1"/>
  <c r="B28" i="2" l="1"/>
  <c r="B31" i="2" s="1"/>
  <c r="B33" i="2" s="1"/>
  <c r="H2" i="5"/>
  <c r="F2" i="5"/>
  <c r="D28" i="3"/>
  <c r="G2" i="5"/>
  <c r="E2" i="5"/>
  <c r="D27" i="3"/>
  <c r="D32" i="3"/>
  <c r="C37" i="3"/>
  <c r="D29" i="3" l="1"/>
  <c r="D30" i="3" s="1"/>
  <c r="D31" i="3" s="1"/>
  <c r="D33" i="3" l="1"/>
  <c r="D35" i="3" s="1"/>
  <c r="E25" i="3" l="1"/>
  <c r="D34" i="3"/>
  <c r="D36" i="3" s="1"/>
  <c r="E26" i="3" s="1"/>
  <c r="E28" i="3" l="1"/>
  <c r="E27" i="3"/>
  <c r="E29" i="3" s="1"/>
  <c r="E30" i="3" s="1"/>
  <c r="E31" i="3" s="1"/>
  <c r="E32" i="3"/>
  <c r="D37" i="3"/>
  <c r="E33" i="3" l="1"/>
  <c r="E35" i="3" s="1"/>
  <c r="E34" i="3"/>
  <c r="E36" i="3" s="1"/>
  <c r="F26" i="3" s="1"/>
  <c r="E37" i="3" l="1"/>
  <c r="F25" i="3"/>
  <c r="F28" i="3"/>
  <c r="F27" i="3" l="1"/>
  <c r="F29" i="3" s="1"/>
  <c r="F30" i="3" s="1"/>
  <c r="F31" i="3" s="1"/>
  <c r="F32" i="3"/>
  <c r="F33" i="3" l="1"/>
  <c r="F35" i="3" s="1"/>
  <c r="F34" i="3" l="1"/>
  <c r="F36" i="3" s="1"/>
  <c r="F37" i="3" s="1"/>
  <c r="B42" i="3" s="1"/>
  <c r="B43" i="3" s="1"/>
  <c r="B50" i="3" l="1"/>
  <c r="B51" i="3" s="1"/>
  <c r="B46" i="3"/>
  <c r="G45" i="3"/>
  <c r="B47" i="3" s="1"/>
  <c r="B53" i="3" l="1"/>
  <c r="B54" i="3" s="1"/>
  <c r="B52" i="3"/>
  <c r="C6" i="5" l="1"/>
  <c r="B6" i="5"/>
  <c r="G6" i="5" l="1"/>
  <c r="E6" i="5"/>
  <c r="H6" i="5"/>
  <c r="F6" i="5"/>
</calcChain>
</file>

<file path=xl/sharedStrings.xml><?xml version="1.0" encoding="utf-8"?>
<sst xmlns="http://schemas.openxmlformats.org/spreadsheetml/2006/main" count="1093" uniqueCount="425">
  <si>
    <t>Category</t>
  </si>
  <si>
    <t>Input key</t>
  </si>
  <si>
    <t>Value</t>
  </si>
  <si>
    <t>Unit</t>
  </si>
  <si>
    <t>Classification</t>
  </si>
  <si>
    <t>Exact tag / source</t>
  </si>
  <si>
    <t>Accession / source date / note</t>
  </si>
  <si>
    <t>SEC fact</t>
  </si>
  <si>
    <t>AAPL_Revenue_FY2023</t>
  </si>
  <si>
    <t>USD bn</t>
  </si>
  <si>
    <t>Traced SEC fact</t>
  </si>
  <si>
    <t>RevenueFromContractWithCustomerExcludingAssessedTax</t>
  </si>
  <si>
    <t>0000320193-23-000106</t>
  </si>
  <si>
    <t>AAPL_EBIT_FY2023</t>
  </si>
  <si>
    <t>OperatingIncomeLoss</t>
  </si>
  <si>
    <t>AAPL_Pretax_FY2023</t>
  </si>
  <si>
    <t>IncomeLossFromContinuingOperationsBeforeIncomeTaxesExtraordinaryItemsNoncontrollingInterest</t>
  </si>
  <si>
    <t>AAPL_Tax_FY2023</t>
  </si>
  <si>
    <t>IncomeTaxExpenseBenefit</t>
  </si>
  <si>
    <t>AAPL_DA_FY2023</t>
  </si>
  <si>
    <t>DepreciationDepletionAndAmortization</t>
  </si>
  <si>
    <t>AAPL_Capex_FY2023</t>
  </si>
  <si>
    <t>PaymentsToAcquirePropertyPlantAndEquipment</t>
  </si>
  <si>
    <t>AAPL_NetIncome_FY2023</t>
  </si>
  <si>
    <t>NetIncomeLoss</t>
  </si>
  <si>
    <t>AAPL_DilutedShares_FY2023</t>
  </si>
  <si>
    <t>shares bn</t>
  </si>
  <si>
    <t>WeightedAverageNumberOfDilutedSharesOutstanding</t>
  </si>
  <si>
    <t>AAPL_Revenue_FY2024</t>
  </si>
  <si>
    <t>0000320193-24-000123</t>
  </si>
  <si>
    <t>AAPL_EBIT_FY2024</t>
  </si>
  <si>
    <t>AAPL_Pretax_FY2024</t>
  </si>
  <si>
    <t>AAPL_Tax_FY2024</t>
  </si>
  <si>
    <t>AAPL_DA_FY2024</t>
  </si>
  <si>
    <t>AAPL_Capex_FY2024</t>
  </si>
  <si>
    <t>AAPL_NetIncome_FY2024</t>
  </si>
  <si>
    <t>AAPL_DilutedShares_FY2024</t>
  </si>
  <si>
    <t>AAPL_Revenue_FY2025</t>
  </si>
  <si>
    <t>0000320193-25-000079</t>
  </si>
  <si>
    <t>AAPL_EBIT_FY2025</t>
  </si>
  <si>
    <t>AAPL_Pretax_FY2025</t>
  </si>
  <si>
    <t>AAPL_Tax_FY2025</t>
  </si>
  <si>
    <t>AAPL_DA_FY2025</t>
  </si>
  <si>
    <t>AAPL_Capex_FY2025</t>
  </si>
  <si>
    <t>AAPL_NetIncome_FY2025</t>
  </si>
  <si>
    <t>AAPL_DilutedShares_FY2025</t>
  </si>
  <si>
    <t>AAPL_Cash_FY2025</t>
  </si>
  <si>
    <t>CashAndCashEquivalentsAtCarryingValue</t>
  </si>
  <si>
    <t>AAPL_MarketableCurrent_FY2025</t>
  </si>
  <si>
    <t>MarketableSecuritiesCurrent</t>
  </si>
  <si>
    <t>AAPL_MarketableNoncurrent_FY2025</t>
  </si>
  <si>
    <t>MarketableSecuritiesNoncurrent</t>
  </si>
  <si>
    <t>AAPL_DebtCurrent_FY2025</t>
  </si>
  <si>
    <t>LongTermDebtCurrent</t>
  </si>
  <si>
    <t>AAPL_CommercialPaper_FY2025</t>
  </si>
  <si>
    <t>CommercialPaper</t>
  </si>
  <si>
    <t>AAPL_DebtNoncurrent_FY2025</t>
  </si>
  <si>
    <t>LongTermDebtNoncurrent</t>
  </si>
  <si>
    <t>AAPL_AssetsCurrent_FY2025</t>
  </si>
  <si>
    <t>AssetsCurrent</t>
  </si>
  <si>
    <t>AAPL_LiabilitiesCurrent_FY2025</t>
  </si>
  <si>
    <t>LiabilitiesCurrent</t>
  </si>
  <si>
    <t>MSFT_Revenue_FY2026</t>
  </si>
  <si>
    <t>0001193125-26-323660</t>
  </si>
  <si>
    <t>MSFT_EBIT_FY2026</t>
  </si>
  <si>
    <t>MSFT_NetIncome_FY2026</t>
  </si>
  <si>
    <t>MSFT_Depreciation_FY2026</t>
  </si>
  <si>
    <t>Depreciation</t>
  </si>
  <si>
    <t>MSFT_IntangibleAmortization_FY2026</t>
  </si>
  <si>
    <t>AmortizationOfIntangibleAssets</t>
  </si>
  <si>
    <t>MSFT_Cash_FY2026</t>
  </si>
  <si>
    <t>MSFT_ShortInvestments_FY2026</t>
  </si>
  <si>
    <t>ShortTermInvestments</t>
  </si>
  <si>
    <t>MSFT_LongInvestments_FY2026</t>
  </si>
  <si>
    <t>LongTermInvestments</t>
  </si>
  <si>
    <t>MSFT_Debt_FY2026</t>
  </si>
  <si>
    <t>LongTermDebt</t>
  </si>
  <si>
    <t>External market input</t>
  </si>
  <si>
    <t>AAPL_SharePrice</t>
  </si>
  <si>
    <t>USD/share</t>
  </si>
  <si>
    <t>External; not SEC fact</t>
  </si>
  <si>
    <t>User supplied Apple close</t>
  </si>
  <si>
    <t>2026-10-05</t>
  </si>
  <si>
    <t>AAPL_MarketCap</t>
  </si>
  <si>
    <t>User supplied Apple market cap</t>
  </si>
  <si>
    <t>MSFT_SharePrice</t>
  </si>
  <si>
    <t>User supplied Microsoft close</t>
  </si>
  <si>
    <t>2026-10-07</t>
  </si>
  <si>
    <t>MSFT_MarketCap</t>
  </si>
  <si>
    <t>User supplied Microsoft market cap</t>
  </si>
  <si>
    <t>RiskFreeRate</t>
  </si>
  <si>
    <t>%</t>
  </si>
  <si>
    <t>10-year US Treasury yield, user supplied</t>
  </si>
  <si>
    <t>2026-10-06</t>
  </si>
  <si>
    <t>AAPL_Beta</t>
  </si>
  <si>
    <t>x</t>
  </si>
  <si>
    <t>5-year monthly levered beta, user supplied</t>
  </si>
  <si>
    <t>user supplied</t>
  </si>
  <si>
    <t>Assumption</t>
  </si>
  <si>
    <t>EquityRiskPremium</t>
  </si>
  <si>
    <t>Judgment-call assumption</t>
  </si>
  <si>
    <t>Practitioner assumption, not market quote</t>
  </si>
  <si>
    <t>User supplied</t>
  </si>
  <si>
    <t>Day3_CostDebtSpread</t>
  </si>
  <si>
    <t>Proposed judgment call</t>
  </si>
  <si>
    <t>Investment-grade spread over risk-free rate</t>
  </si>
  <si>
    <t>Review pending</t>
  </si>
  <si>
    <t>ForwardTaxRate</t>
  </si>
  <si>
    <t>Derived modeling assumption</t>
  </si>
  <si>
    <t>Average FY2023 and FY2025 effective tax rates; excludes FY2024 one-time EU State Aid charge</t>
  </si>
  <si>
    <t>DCF_TerminalGrowth</t>
  </si>
  <si>
    <t>Proposed modeling assumption</t>
  </si>
  <si>
    <t>Long-run nominal inflation anchor plus modest real growth</t>
  </si>
  <si>
    <t>DCF_EBITMargin</t>
  </si>
  <si>
    <t>Based on FY2023-FY2025 margins</t>
  </si>
  <si>
    <t>DCF_DAPctRevenue</t>
  </si>
  <si>
    <t>Based on FY2023-FY2025</t>
  </si>
  <si>
    <t>DCF_CapexPctRevenue</t>
  </si>
  <si>
    <t>DCF_NWCPctRevenue</t>
  </si>
  <si>
    <t>FY2025 operating NWC / revenue held constant</t>
  </si>
  <si>
    <t>DCF_Growth_Y1</t>
  </si>
  <si>
    <t>Five-year fade from historical growth toward terminal growth</t>
  </si>
  <si>
    <t>DCF_Growth_Y2</t>
  </si>
  <si>
    <t>DCF_Growth_Y3</t>
  </si>
  <si>
    <t>DCF_Growth_Y4</t>
  </si>
  <si>
    <t>DCF_Growth_Y5</t>
  </si>
  <si>
    <t>LBO_EntryMultiple</t>
  </si>
  <si>
    <t>x EBITDA</t>
  </si>
  <si>
    <t>Proposed LBO assumption</t>
  </si>
  <si>
    <t>Entry multiple informed by prior comps</t>
  </si>
  <si>
    <t>LBO_ExitMultiple</t>
  </si>
  <si>
    <t>One-turn exit de-rating</t>
  </si>
  <si>
    <t>LBO_TLBLeverage</t>
  </si>
  <si>
    <t>TLB opening leverage</t>
  </si>
  <si>
    <t>LBO_NotesLeverage</t>
  </si>
  <si>
    <t>Senior notes opening leverage</t>
  </si>
  <si>
    <t>LBO_TLBSpread</t>
  </si>
  <si>
    <t>Spread over risk-free rate</t>
  </si>
  <si>
    <t>LBO_NotesSpread</t>
  </si>
  <si>
    <t>LBO_TLBAmort</t>
  </si>
  <si>
    <t>% original debt</t>
  </si>
  <si>
    <t>Annual scheduled amortization</t>
  </si>
  <si>
    <t>LBO_FeePct</t>
  </si>
  <si>
    <t>% entry EV</t>
  </si>
  <si>
    <t>Transaction fees</t>
  </si>
  <si>
    <t>LBO_TargetIRR</t>
  </si>
  <si>
    <t>User-specified ability-to-pay target</t>
  </si>
  <si>
    <t>LBO_HoldYears</t>
  </si>
  <si>
    <t>years</t>
  </si>
  <si>
    <t>User-specified holding period</t>
  </si>
  <si>
    <t>Derived calculation</t>
  </si>
  <si>
    <t>AAPL_NWC_FY2025</t>
  </si>
  <si>
    <t>Derived from SEC facts</t>
  </si>
  <si>
    <t>(AssetsCurrent - cash - current securities) - (current liabilities - current debt - commercial paper)</t>
  </si>
  <si>
    <t>Derived valuation input</t>
  </si>
  <si>
    <t>MSFT_EVRevenue_Multiple_Rounded</t>
  </si>
  <si>
    <t>Previously derived rounded peer multiple</t>
  </si>
  <si>
    <t>Microsoft EV / Revenue applied in Day 5 report</t>
  </si>
  <si>
    <t>Rounded from the already-established comps output</t>
  </si>
  <si>
    <t>MSFT_EVEBITDA_Multiple_Rounded</t>
  </si>
  <si>
    <t>Microsoft EV / EBITDA applied in Day 5 report</t>
  </si>
  <si>
    <t>MSFT_PE_Multiple_Rounded</t>
  </si>
  <si>
    <t>Microsoft P/E applied in Day 5 report</t>
  </si>
  <si>
    <t>LBO_TLBMaturityYears</t>
  </si>
  <si>
    <t>Term Loan B maturity</t>
  </si>
  <si>
    <t>LBO_NotesMaturityYears</t>
  </si>
  <si>
    <t>Senior notes maturity</t>
  </si>
  <si>
    <t>LBO_NotesScheduledAmort</t>
  </si>
  <si>
    <t>No scheduled senior-note amortization during five-year hold</t>
  </si>
  <si>
    <t>LBO_CashSweepPct</t>
  </si>
  <si>
    <t>100% excess cash sweep, TLB first, then notes</t>
  </si>
  <si>
    <t>LBO_MinimumCashReserve</t>
  </si>
  <si>
    <t>No minimum cash reserve modeled</t>
  </si>
  <si>
    <t>LBO_InterimDistributions</t>
  </si>
  <si>
    <t>No sponsor distributions during the hold</t>
  </si>
  <si>
    <t>GOOGL_Revenue_FY2025</t>
  </si>
  <si>
    <t>Revenues</t>
  </si>
  <si>
    <t>0001652044-26-000018</t>
  </si>
  <si>
    <t>GOOGL_EBIT_FY2025</t>
  </si>
  <si>
    <t>GOOGL_Depreciation_FY2025</t>
  </si>
  <si>
    <t>GOOGL_NetIncome_FY2025</t>
  </si>
  <si>
    <t>GOOGL_Debt_identified_FY2025</t>
  </si>
  <si>
    <t>Derived from traced SEC facts</t>
  </si>
  <si>
    <t>LongTermDebtCurrent + LongTermDebtNoncurrent + CommercialPaper</t>
  </si>
  <si>
    <t>GOOGL_CashInvestments_FY2025</t>
  </si>
  <si>
    <t>CashCashEquivalentsAndShortTermInvestments + OtherLongTermInvestments; aggregate includes cash</t>
  </si>
  <si>
    <t>GOOGL_CommercialPaper_FY2025</t>
  </si>
  <si>
    <t>CommercialPaper (reported fact)</t>
  </si>
  <si>
    <t>AMZN_Revenue_FY2025</t>
  </si>
  <si>
    <t>0001018724-26-000004</t>
  </si>
  <si>
    <t>AMZN_EBIT_FY2025</t>
  </si>
  <si>
    <t>AMZN_Depreciation_FY2025</t>
  </si>
  <si>
    <t>AMZN_IntangibleAmortization_FY2025</t>
  </si>
  <si>
    <t>AMZN_NetIncome_FY2025</t>
  </si>
  <si>
    <t>AMZN_Debt_identified_FY2025</t>
  </si>
  <si>
    <t>LongTermDebtCurrent + LongTermDebtNoncurrent</t>
  </si>
  <si>
    <t>AMZN_CashInvestments_FY2025</t>
  </si>
  <si>
    <t>CashAndCashEquivalentsAtCarryingValue + MarketableSecuritiesCurrent</t>
  </si>
  <si>
    <t>AMZN_CommercialPaper_FY2025</t>
  </si>
  <si>
    <t>Not found</t>
  </si>
  <si>
    <t>SEC fact unavailable in captured data</t>
  </si>
  <si>
    <t>0001018724-26-000004; no fact identified; not treated as zero</t>
  </si>
  <si>
    <t>META_Revenue_FY2025</t>
  </si>
  <si>
    <t>0001628280-26-003942</t>
  </si>
  <si>
    <t>META_EBIT_FY2025</t>
  </si>
  <si>
    <t>META_Depreciation_FY2025</t>
  </si>
  <si>
    <t>META_IntangibleAmortization_FY2025</t>
  </si>
  <si>
    <t>META_NetIncome_FY2025</t>
  </si>
  <si>
    <t>META_DebtNoncurrent_FY2025</t>
  </si>
  <si>
    <t>META_DebtCurrent_FY2025</t>
  </si>
  <si>
    <t>0001628280-26-003942; not found; identified debt subtotal is noncurrent only</t>
  </si>
  <si>
    <t>META_CommercialPaper_FY2025</t>
  </si>
  <si>
    <t>0001628280-26-003942; no fact identified; not treated as zero</t>
  </si>
  <si>
    <t>META_Debt_identified_FY2025</t>
  </si>
  <si>
    <t>LongTermDebtNoncurrent only; current debt and commercial paper not found</t>
  </si>
  <si>
    <t>META_CashInvestments_FY2025</t>
  </si>
  <si>
    <t>NVDA_Revenue_FY2026</t>
  </si>
  <si>
    <t>0001045810-26-000021</t>
  </si>
  <si>
    <t>NVDA_EBIT_FY2026</t>
  </si>
  <si>
    <t>NVDA_Depreciation_FY2026</t>
  </si>
  <si>
    <t>NVDA_IntangibleAmortization_FY2026</t>
  </si>
  <si>
    <t>NVDA_NetIncome_FY2026</t>
  </si>
  <si>
    <t>NVDA_Debt_identified_FY2026</t>
  </si>
  <si>
    <t>NVDA_Cash_FY2026</t>
  </si>
  <si>
    <t>NVDA_Investments_FY2026</t>
  </si>
  <si>
    <t>ShortTermInvestments / MarketableSecuritiesCurrent / other investments</t>
  </si>
  <si>
    <t>0001045810-26-000021; not identified; not treated as zero</t>
  </si>
  <si>
    <t>NVDA_CommercialPaper_FY2026</t>
  </si>
  <si>
    <t>0001045810-26-000021; no FY2026 fact identified; not treated as zero</t>
  </si>
  <si>
    <t>NVDA_CashInvestments_FY2026</t>
  </si>
  <si>
    <t>CashAndCashEquivalentsAtCarryingValue only; FY2026 investments not found</t>
  </si>
  <si>
    <t>TSLA_Revenue_FY2025</t>
  </si>
  <si>
    <t>Revenues (selected; same value also present under RevenueFromContractWithCustomerExcludingAssessedTax)</t>
  </si>
  <si>
    <t>0001628280-26-003952; FY2025-12-31; duplicate-looking equal-valued tag identified in capture</t>
  </si>
  <si>
    <t>TSLA_EBIT_FY2025</t>
  </si>
  <si>
    <t>0001628280-26-003952</t>
  </si>
  <si>
    <t>TSLA_Depreciation_FY2025</t>
  </si>
  <si>
    <t>TSLA_NetIncome_FY2025</t>
  </si>
  <si>
    <t>TSLA_Debt_identified_FY2025</t>
  </si>
  <si>
    <t>DebtCurrent + LongTermDebt</t>
  </si>
  <si>
    <t>TSLA_CashInvestments_FY2025</t>
  </si>
  <si>
    <t>CashAndCashEquivalentsAtCarryingValue + ShortTermInvestments</t>
  </si>
  <si>
    <t>TSLA_CommercialPaper_FY2025</t>
  </si>
  <si>
    <t>0001628280-26-003952; no fact identified; not treated as zero</t>
  </si>
  <si>
    <t>GOOGL_SharePrice</t>
  </si>
  <si>
    <t>User supplied close</t>
  </si>
  <si>
    <t>2026-10-08</t>
  </si>
  <si>
    <t>GOOGL_MarketCap</t>
  </si>
  <si>
    <t>User supplied market cap</t>
  </si>
  <si>
    <t>AMZN_SharePrice</t>
  </si>
  <si>
    <t>AMZN_MarketCap</t>
  </si>
  <si>
    <t>META_SharePrice</t>
  </si>
  <si>
    <t>META_MarketCap</t>
  </si>
  <si>
    <t>NVDA_SharePrice</t>
  </si>
  <si>
    <t>User supplied close (split-adjusted)</t>
  </si>
  <si>
    <t>NVDA_MarketCap</t>
  </si>
  <si>
    <t>User supplied market cap (split-adjusted)</t>
  </si>
  <si>
    <t>TSLA_SharePrice</t>
  </si>
  <si>
    <t>TSLA_MarketCap</t>
  </si>
  <si>
    <t>MSFT_CommercialPaper_FY2026</t>
  </si>
  <si>
    <t>0001193125-26-323660; no fact identified; not treated as zero</t>
  </si>
  <si>
    <t>GOOGL_CashCashEquivalentsAndShortTermInvestments_FY2025</t>
  </si>
  <si>
    <t>CashCashEquivalentsAndShortTermInvestments</t>
  </si>
  <si>
    <t>GOOGL_OtherLongTermInvestments_FY2025</t>
  </si>
  <si>
    <t>OtherLongTermInvestments</t>
  </si>
  <si>
    <t>GOOGL_LongTermDebtCurrent_FY2025</t>
  </si>
  <si>
    <t>GOOGL_LongTermDebtNoncurrent_FY2025</t>
  </si>
  <si>
    <t>AMZN_CashAndCashEquivalentsAtCarryingValue_FY2025</t>
  </si>
  <si>
    <t>AMZN_MarketableSecuritiesCurrent_FY2025</t>
  </si>
  <si>
    <t>AMZN_LongTermDebtCurrent_FY2025</t>
  </si>
  <si>
    <t>AMZN_LongTermDebtNoncurrent_FY2025</t>
  </si>
  <si>
    <t>META_CashAndCashEquivalentsAtCarryingValue_FY2025</t>
  </si>
  <si>
    <t>META_MarketableSecuritiesCurrent_FY2025</t>
  </si>
  <si>
    <t>NVDA_DebtCurrent_FY2026</t>
  </si>
  <si>
    <t>DebtCurrent</t>
  </si>
  <si>
    <t>NVDA_LongTermDebtNoncurrent_FY2026</t>
  </si>
  <si>
    <t>TSLA_CashAndCashEquivalentsAtCarryingValue_FY2025</t>
  </si>
  <si>
    <t>TSLA_ShortTermInvestments_FY2025</t>
  </si>
  <si>
    <t>TSLA_DebtCurrent_FY2025</t>
  </si>
  <si>
    <t>TSLA_LongTermDebt_FY2025</t>
  </si>
  <si>
    <t>NVDA_DilutedShares_FY2026</t>
  </si>
  <si>
    <t>Traced SEC fact; split-adjusted count used; no pre-split count included</t>
  </si>
  <si>
    <t>DCF — USD bn except per-share values</t>
  </si>
  <si>
    <t>WACC build</t>
  </si>
  <si>
    <t>Cost of equity</t>
  </si>
  <si>
    <t>Cost of debt pretax</t>
  </si>
  <si>
    <t>Cost of debt aftertax</t>
  </si>
  <si>
    <t>Market equity</t>
  </si>
  <si>
    <t>Total debt</t>
  </si>
  <si>
    <t>Equity weight</t>
  </si>
  <si>
    <t>Debt weight</t>
  </si>
  <si>
    <t>WACC</t>
  </si>
  <si>
    <t>Forecast</t>
  </si>
  <si>
    <t>Year 1</t>
  </si>
  <si>
    <t>Year 2</t>
  </si>
  <si>
    <t>Year 3</t>
  </si>
  <si>
    <t>Year 4</t>
  </si>
  <si>
    <t>Year 5</t>
  </si>
  <si>
    <t>Fiscal year</t>
  </si>
  <si>
    <t>Revenue growth</t>
  </si>
  <si>
    <t>Revenue</t>
  </si>
  <si>
    <t>EBIT</t>
  </si>
  <si>
    <t>Tax rate</t>
  </si>
  <si>
    <t>NOPAT</t>
  </si>
  <si>
    <t>D&amp;A</t>
  </si>
  <si>
    <t>Capex</t>
  </si>
  <si>
    <t>NWC</t>
  </si>
  <si>
    <t>Change in NWC</t>
  </si>
  <si>
    <t>UFCF</t>
  </si>
  <si>
    <t>PV of UFCF</t>
  </si>
  <si>
    <t>PV explicit FCF</t>
  </si>
  <si>
    <t>Terminal growth</t>
  </si>
  <si>
    <t>Terminal value</t>
  </si>
  <si>
    <t>PV terminal value</t>
  </si>
  <si>
    <t>Enterprise value</t>
  </si>
  <si>
    <t>Cash &amp; investments</t>
  </si>
  <si>
    <t>Equity value</t>
  </si>
  <si>
    <t>Diluted shares</t>
  </si>
  <si>
    <t>Implied share price</t>
  </si>
  <si>
    <t>Sensitivity: share price</t>
  </si>
  <si>
    <t>LBO — illustrative mechanics only; USD bn</t>
  </si>
  <si>
    <t>Entry / sources &amp; uses</t>
  </si>
  <si>
    <t>FY2025 EBITDA</t>
  </si>
  <si>
    <t>Entry EV/EBITDA</t>
  </si>
  <si>
    <t>Entry EV</t>
  </si>
  <si>
    <t>Existing net debt</t>
  </si>
  <si>
    <t>Seller equity purchase</t>
  </si>
  <si>
    <t>Opening TLB</t>
  </si>
  <si>
    <t>Opening senior notes</t>
  </si>
  <si>
    <t>Sponsor equity</t>
  </si>
  <si>
    <t>Uses total</t>
  </si>
  <si>
    <t>Sources total</t>
  </si>
  <si>
    <t>Sources less uses</t>
  </si>
  <si>
    <t>TLB rate</t>
  </si>
  <si>
    <t>Notes rate</t>
  </si>
  <si>
    <t>Debt schedule</t>
  </si>
  <si>
    <t>Change NWC</t>
  </si>
  <si>
    <t>EBITDA</t>
  </si>
  <si>
    <t>Beginning TLB</t>
  </si>
  <si>
    <t>Beginning notes</t>
  </si>
  <si>
    <t>TLB interest</t>
  </si>
  <si>
    <t>Notes interest</t>
  </si>
  <si>
    <t>Total interest</t>
  </si>
  <si>
    <t>Cash taxes</t>
  </si>
  <si>
    <t>Cash available for debt service</t>
  </si>
  <si>
    <t>Scheduled TLB amortization</t>
  </si>
  <si>
    <t>TLB cash sweep</t>
  </si>
  <si>
    <t>Notes cash sweep</t>
  </si>
  <si>
    <t>Ending TLB</t>
  </si>
  <si>
    <t>Ending notes</t>
  </si>
  <si>
    <t>Ending total debt</t>
  </si>
  <si>
    <t>Exit &amp; returns</t>
  </si>
  <si>
    <t>Exit EBITDA</t>
  </si>
  <si>
    <t>Exit multiple</t>
  </si>
  <si>
    <t>Exit EV</t>
  </si>
  <si>
    <t>Debt at exit</t>
  </si>
  <si>
    <t>Exit equity</t>
  </si>
  <si>
    <t>Cash flow year</t>
  </si>
  <si>
    <t>Sponsor cash flow</t>
  </si>
  <si>
    <t>MOIC</t>
  </si>
  <si>
    <t>IRR</t>
  </si>
  <si>
    <t>Ability to pay</t>
  </si>
  <si>
    <t>Target MOIC</t>
  </si>
  <si>
    <t>Maximum sponsor equity</t>
  </si>
  <si>
    <t>Maximum entry EV</t>
  </si>
  <si>
    <t>Maximum entry multiple</t>
  </si>
  <si>
    <t>Maximum seller equity value</t>
  </si>
  <si>
    <t>Maximum entry price/share</t>
  </si>
  <si>
    <t>Company</t>
  </si>
  <si>
    <t>Data provenance tier</t>
  </si>
  <si>
    <t>Share price (external)</t>
  </si>
  <si>
    <t>Market cap (external)</t>
  </si>
  <si>
    <t>EBITDA margin</t>
  </si>
  <si>
    <t>Net income</t>
  </si>
  <si>
    <t>Identified debt*</t>
  </si>
  <si>
    <t>Identified cash + investments*</t>
  </si>
  <si>
    <t>Enterprise value*</t>
  </si>
  <si>
    <t>EV / Revenue*</t>
  </si>
  <si>
    <t>EV / EBITDA*</t>
  </si>
  <si>
    <t>P / E</t>
  </si>
  <si>
    <t>Peer EV / EBITDA -&gt; AAPL/share</t>
  </si>
  <si>
    <t>Peer EV / Revenue -&gt; AAPL/share</t>
  </si>
  <si>
    <t>Balance-sheet flags</t>
  </si>
  <si>
    <t>EBITDA definition</t>
  </si>
  <si>
    <t>AAPL</t>
  </si>
  <si>
    <t>FY2025</t>
  </si>
  <si>
    <t>Database provenance (ingested)</t>
  </si>
  <si>
    <t>Complete identified balances</t>
  </si>
  <si>
    <t>EBIT + combined DepreciationDepletionAndAmortization</t>
  </si>
  <si>
    <t>MSFT</t>
  </si>
  <si>
    <t>FY2026</t>
  </si>
  <si>
    <t>Analysis-only (capture; not ingested)</t>
  </si>
  <si>
    <t>Commercial paper not found; identified debt only</t>
  </si>
  <si>
    <t>EBIT + Depreciation + AmortizationOfIntangibleAssets</t>
  </si>
  <si>
    <t>GOOGL</t>
  </si>
  <si>
    <t>Commercial paper reported as 0.000; aggregate cash tag includes cash</t>
  </si>
  <si>
    <t>EBIT + Depreciation only; no intangible amortization tag identified</t>
  </si>
  <si>
    <t>AMZN</t>
  </si>
  <si>
    <t>EBIT + Depreciation + AmortizationOfIntangibleAssets; excludes finance-lease ROU amortization</t>
  </si>
  <si>
    <t>META</t>
  </si>
  <si>
    <t>Current debt and commercial paper not found; identified debt is noncurrent only</t>
  </si>
  <si>
    <t>NVDA</t>
  </si>
  <si>
    <t>FY2026 investments and commercial paper not found; identified cash only</t>
  </si>
  <si>
    <t>TSLA</t>
  </si>
  <si>
    <t>* Enterprise values and multiples use identified balances only. Missing balances are unresolved, not assumed zero; see balance-sheet flags and the consolidated README appendix.</t>
  </si>
  <si>
    <t>Method</t>
  </si>
  <si>
    <t>Low ($/share)</t>
  </si>
  <si>
    <t>High ($/share)</t>
  </si>
  <si>
    <t>Apple market price ($/share)</t>
  </si>
  <si>
    <t>Low - market ($)</t>
  </si>
  <si>
    <t>High - market ($)</t>
  </si>
  <si>
    <t>Chart base</t>
  </si>
  <si>
    <t>Chart span</t>
  </si>
  <si>
    <t>Notes</t>
  </si>
  <si>
    <t>DCF sensitivity</t>
  </si>
  <si>
    <t>Day 3 WACC / terminal-growth sensitivity grid</t>
  </si>
  <si>
    <t>Materiality-screened EV / EBITDA (AAPL + MSFT* + GOOGL)</t>
  </si>
  <si>
    <t>Apple and Alphabet complete; Microsoft re-included using stated FY2026 CommercialPaper = $0.000bn assumption based on FY2025.</t>
  </si>
  <si>
    <t>Materiality-screened EV / Revenue (AAPL + MSFT* + GOOGL)</t>
  </si>
  <si>
    <t>Microsoft P/E (legacy point)</t>
  </si>
  <si>
    <t>Microsoft P/E is an equity multiple, not an EV multiple; retained as the prior point estimate.</t>
  </si>
  <si>
    <t>LBO ability-to-pay</t>
  </si>
  <si>
    <t>Illustrative mechanics only; not a realistic deal thesis</t>
  </si>
  <si>
    <t>* Microsoft re-included using a stated zero/near-zero assumption for CommercialPaper, based on the FY2025 value of $0.000bn at 2025-06-30. Amazon, Meta, NVIDIA, and Tesla remain excluded; see note below.</t>
  </si>
  <si>
    <t>Materiality screen: Microsoft alone is re-included among previously excluded issuers, using FY2025 CommercialPaper of $0.000bn (2025-06-30) as an explicit assumption for missing FY2026 CommercialPaper, not a reported FY2026 fact. Amazon and Tesla CommercialPaper, and Meta current debt/commercial paper, have no adjacent low same-tag value; they remain excluded. NVIDIA FY2026 MarketableSecuritiesCurrent is missing; its FY2025 same-tag value was $34.621bn (2025-01-26), not low/near-zero, so NVIDIA remains excluded. This inclusion/exclusion rule is based on fact materiality, separately from ingestion status: Amazon is ingested but excluded; Microsoft is capture-only but re-included under assumption. NVIDIA and Meta remain excluded.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</si>
</sst>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0.00"/>
    <numFmt numFmtId="165" formatCode="0.00\x"/>
    <numFmt numFmtId="166" formatCode="\$0.00;[Red]\-\$0.00"/>
    <numFmt numFmtId="167" formatCode="#,##0.000;[Red]\(#,##0.000\);0.000"/>
    <numFmt numFmtId="168" formatCode="\$#,##0.00"/>
    <numFmt numFmtId="169" formatCode="\$#,##0.00;[Red]\(\$#,##0.00\)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10" fontId="0" fillId="5" borderId="0" xfId="0" applyNumberFormat="1" applyFill="1" applyAlignment="1">
      <alignment vertical="center"/>
    </xf>
    <xf numFmtId="10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0" fontId="3" fillId="4" borderId="0" xfId="0" applyFont="1" applyFill="1" applyAlignment="1">
      <alignment vertical="center"/>
    </xf>
    <xf numFmtId="10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0" fontId="0" fillId="0" borderId="0" xfId="0" applyNumberFormat="1" applyAlignment="1">
      <alignment vertical="center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66" fontId="3" fillId="0" borderId="0" xfId="0" applyNumberFormat="1" applyFont="1" applyAlignment="1">
      <alignment vertical="center"/>
    </xf>
    <xf numFmtId="165" fontId="0" fillId="5" borderId="0" xfId="0" applyNumberFormat="1" applyFill="1" applyAlignment="1">
      <alignment vertical="center"/>
    </xf>
    <xf numFmtId="165" fontId="0" fillId="0" borderId="0" xfId="0" applyNumberFormat="1"/>
    <xf numFmtId="167" fontId="2" fillId="4" borderId="0" xfId="0" applyNumberFormat="1" applyFont="1" applyFill="1" applyAlignment="1">
      <alignment vertical="center"/>
    </xf>
    <xf numFmtId="168" fontId="0" fillId="0" borderId="0" xfId="0" applyNumberFormat="1"/>
    <xf numFmtId="167" fontId="0" fillId="0" borderId="0" xfId="0" applyNumberFormat="1"/>
    <xf numFmtId="169" fontId="2" fillId="3" borderId="0" xfId="0" applyNumberFormat="1" applyFont="1" applyFill="1" applyAlignment="1">
      <alignment vertical="center"/>
    </xf>
    <xf numFmtId="169" fontId="0" fillId="0" borderId="0" xfId="0" applyNumberFormat="1"/>
    <xf numFmtId="169" fontId="3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t>Apple implied share value ranges vs. market price</a:t>
            </a:r>
          </a:p>
        </c:rich>
      </c:tx>
      <c:overlay val="1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'Football Field'!$G$1</c:f>
              <c:strCache>
                <c:ptCount val="1"/>
                <c:pt idx="0">
                  <c:v>Chart 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'Football Field'!$A$2:$A$6</c:f>
              <c:strCache>
                <c:ptCount val="5"/>
                <c:pt idx="0">
                  <c:v>DCF sensitivity</c:v>
                </c:pt>
                <c:pt idx="1">
                  <c:v>Materiality-screened EV / EBITDA (AAPL + MSFT* + GOOGL)</c:v>
                </c:pt>
                <c:pt idx="2">
                  <c:v>Materiality-screened EV / Revenue (AAPL + MSFT* + GOOGL)</c:v>
                </c:pt>
                <c:pt idx="3">
                  <c:v>Microsoft P/E (legacy point)</c:v>
                </c:pt>
                <c:pt idx="4">
                  <c:v>LBO ability-to-pay</c:v>
                </c:pt>
              </c:strCache>
            </c:strRef>
          </c:cat>
          <c:val>
            <c:numRef>
              <c:f>'Football Field'!$G$2:$G$6</c:f>
            </c:numRef>
          </c:val>
          <c:extLst>
            <c:ext xmlns:c16="http://schemas.microsoft.com/office/drawing/2014/chart" uri="{C3380CC4-5D6E-409C-BE32-E72D297353CC}">
              <c16:uniqueId val="{00000000-C5C9-2B4E-8AF0-99B52DBDC9BF}"/>
            </c:ext>
          </c:extLst>
        </c:ser>
        <c:ser>
          <c:idx val="1"/>
          <c:order val="1"/>
          <c:tx>
            <c:strRef>
              <c:f>'Football Field'!$H$1</c:f>
              <c:strCache>
                <c:ptCount val="1"/>
                <c:pt idx="0">
                  <c:v>Chart span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strRef>
              <c:f>'Football Field'!$A$2:$A$6</c:f>
              <c:strCache>
                <c:ptCount val="5"/>
                <c:pt idx="0">
                  <c:v>DCF sensitivity</c:v>
                </c:pt>
                <c:pt idx="1">
                  <c:v>Materiality-screened EV / EBITDA (AAPL + MSFT* + GOOGL)</c:v>
                </c:pt>
                <c:pt idx="2">
                  <c:v>Materiality-screened EV / Revenue (AAPL + MSFT* + GOOGL)</c:v>
                </c:pt>
                <c:pt idx="3">
                  <c:v>Microsoft P/E (legacy point)</c:v>
                </c:pt>
                <c:pt idx="4">
                  <c:v>LBO ability-to-pay</c:v>
                </c:pt>
              </c:strCache>
            </c:strRef>
          </c:cat>
          <c:val>
            <c:numRef>
              <c:f>'Football Field'!$H$2:$H$6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5C9-2B4E-8AF0-99B52DBDC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  <c:min val="0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USD per share</a:t>
                </a:r>
              </a:p>
            </c:rich>
          </c:tx>
          <c:overlay val="1"/>
        </c:title>
        <c:numFmt formatCode="\$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Method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1"/>
  <sheetViews>
    <sheetView tabSelected="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5" customWidth="1"/>
    <col min="2" max="2" width="34" customWidth="1"/>
    <col min="3" max="3" width="20" customWidth="1"/>
    <col min="4" max="4" width="19" customWidth="1"/>
    <col min="5" max="5" width="29" customWidth="1"/>
    <col min="6" max="6" width="78" customWidth="1"/>
    <col min="7" max="7" width="54" customWidth="1"/>
  </cols>
  <sheetData>
    <row r="1" spans="1:7" ht="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8</v>
      </c>
      <c r="C2" s="3">
        <v>383.28500000000003</v>
      </c>
      <c r="D2" s="2" t="s">
        <v>9</v>
      </c>
      <c r="E2" s="2" t="s">
        <v>10</v>
      </c>
      <c r="F2" s="2" t="s">
        <v>11</v>
      </c>
      <c r="G2" s="2" t="s">
        <v>12</v>
      </c>
    </row>
    <row r="3" spans="1:7" x14ac:dyDescent="0.2">
      <c r="A3" s="4" t="s">
        <v>7</v>
      </c>
      <c r="B3" s="4" t="s">
        <v>13</v>
      </c>
      <c r="C3" s="5">
        <v>114.301</v>
      </c>
      <c r="D3" s="4" t="s">
        <v>9</v>
      </c>
      <c r="E3" s="4" t="s">
        <v>10</v>
      </c>
      <c r="F3" s="4" t="s">
        <v>14</v>
      </c>
      <c r="G3" s="4" t="s">
        <v>12</v>
      </c>
    </row>
    <row r="4" spans="1:7" x14ac:dyDescent="0.2">
      <c r="A4" s="4" t="s">
        <v>7</v>
      </c>
      <c r="B4" s="4" t="s">
        <v>15</v>
      </c>
      <c r="C4" s="5">
        <v>113.736</v>
      </c>
      <c r="D4" s="4" t="s">
        <v>9</v>
      </c>
      <c r="E4" s="4" t="s">
        <v>10</v>
      </c>
      <c r="F4" s="4" t="s">
        <v>16</v>
      </c>
      <c r="G4" s="4" t="s">
        <v>12</v>
      </c>
    </row>
    <row r="5" spans="1:7" x14ac:dyDescent="0.2">
      <c r="A5" s="4" t="s">
        <v>7</v>
      </c>
      <c r="B5" s="4" t="s">
        <v>17</v>
      </c>
      <c r="C5" s="5">
        <v>16.741</v>
      </c>
      <c r="D5" s="4" t="s">
        <v>9</v>
      </c>
      <c r="E5" s="4" t="s">
        <v>10</v>
      </c>
      <c r="F5" s="4" t="s">
        <v>18</v>
      </c>
      <c r="G5" s="4" t="s">
        <v>12</v>
      </c>
    </row>
    <row r="6" spans="1:7" x14ac:dyDescent="0.2">
      <c r="A6" s="4" t="s">
        <v>7</v>
      </c>
      <c r="B6" s="4" t="s">
        <v>19</v>
      </c>
      <c r="C6" s="5">
        <v>11.519</v>
      </c>
      <c r="D6" s="4" t="s">
        <v>9</v>
      </c>
      <c r="E6" s="4" t="s">
        <v>10</v>
      </c>
      <c r="F6" s="4" t="s">
        <v>20</v>
      </c>
      <c r="G6" s="4" t="s">
        <v>12</v>
      </c>
    </row>
    <row r="7" spans="1:7" x14ac:dyDescent="0.2">
      <c r="A7" s="4" t="s">
        <v>7</v>
      </c>
      <c r="B7" s="4" t="s">
        <v>21</v>
      </c>
      <c r="C7" s="5">
        <v>10.959</v>
      </c>
      <c r="D7" s="4" t="s">
        <v>9</v>
      </c>
      <c r="E7" s="4" t="s">
        <v>10</v>
      </c>
      <c r="F7" s="4" t="s">
        <v>22</v>
      </c>
      <c r="G7" s="4" t="s">
        <v>12</v>
      </c>
    </row>
    <row r="8" spans="1:7" x14ac:dyDescent="0.2">
      <c r="A8" s="4" t="s">
        <v>7</v>
      </c>
      <c r="B8" s="4" t="s">
        <v>23</v>
      </c>
      <c r="C8" s="5">
        <v>96.995000000000005</v>
      </c>
      <c r="D8" s="4" t="s">
        <v>9</v>
      </c>
      <c r="E8" s="4" t="s">
        <v>10</v>
      </c>
      <c r="F8" s="4" t="s">
        <v>24</v>
      </c>
      <c r="G8" s="4" t="s">
        <v>12</v>
      </c>
    </row>
    <row r="9" spans="1:7" x14ac:dyDescent="0.2">
      <c r="A9" s="4" t="s">
        <v>7</v>
      </c>
      <c r="B9" s="4" t="s">
        <v>25</v>
      </c>
      <c r="C9" s="5">
        <v>15.812547</v>
      </c>
      <c r="D9" s="4" t="s">
        <v>26</v>
      </c>
      <c r="E9" s="4" t="s">
        <v>10</v>
      </c>
      <c r="F9" s="4" t="s">
        <v>27</v>
      </c>
      <c r="G9" s="4" t="s">
        <v>12</v>
      </c>
    </row>
    <row r="10" spans="1:7" x14ac:dyDescent="0.2">
      <c r="A10" s="4" t="s">
        <v>7</v>
      </c>
      <c r="B10" s="4" t="s">
        <v>28</v>
      </c>
      <c r="C10" s="5">
        <v>391.03500000000003</v>
      </c>
      <c r="D10" s="4" t="s">
        <v>9</v>
      </c>
      <c r="E10" s="4" t="s">
        <v>10</v>
      </c>
      <c r="F10" s="4" t="s">
        <v>11</v>
      </c>
      <c r="G10" s="4" t="s">
        <v>29</v>
      </c>
    </row>
    <row r="11" spans="1:7" x14ac:dyDescent="0.2">
      <c r="A11" s="4" t="s">
        <v>7</v>
      </c>
      <c r="B11" s="4" t="s">
        <v>30</v>
      </c>
      <c r="C11" s="5">
        <v>123.21599999999999</v>
      </c>
      <c r="D11" s="4" t="s">
        <v>9</v>
      </c>
      <c r="E11" s="4" t="s">
        <v>10</v>
      </c>
      <c r="F11" s="4" t="s">
        <v>14</v>
      </c>
      <c r="G11" s="4" t="s">
        <v>29</v>
      </c>
    </row>
    <row r="12" spans="1:7" x14ac:dyDescent="0.2">
      <c r="A12" s="4" t="s">
        <v>7</v>
      </c>
      <c r="B12" s="4" t="s">
        <v>31</v>
      </c>
      <c r="C12" s="5">
        <v>123.485</v>
      </c>
      <c r="D12" s="4" t="s">
        <v>9</v>
      </c>
      <c r="E12" s="4" t="s">
        <v>10</v>
      </c>
      <c r="F12" s="4" t="s">
        <v>16</v>
      </c>
      <c r="G12" s="4" t="s">
        <v>29</v>
      </c>
    </row>
    <row r="13" spans="1:7" x14ac:dyDescent="0.2">
      <c r="A13" s="4" t="s">
        <v>7</v>
      </c>
      <c r="B13" s="4" t="s">
        <v>32</v>
      </c>
      <c r="C13" s="5">
        <v>29.748999999999999</v>
      </c>
      <c r="D13" s="4" t="s">
        <v>9</v>
      </c>
      <c r="E13" s="4" t="s">
        <v>10</v>
      </c>
      <c r="F13" s="4" t="s">
        <v>18</v>
      </c>
      <c r="G13" s="4" t="s">
        <v>29</v>
      </c>
    </row>
    <row r="14" spans="1:7" x14ac:dyDescent="0.2">
      <c r="A14" s="4" t="s">
        <v>7</v>
      </c>
      <c r="B14" s="4" t="s">
        <v>33</v>
      </c>
      <c r="C14" s="5">
        <v>11.445</v>
      </c>
      <c r="D14" s="4" t="s">
        <v>9</v>
      </c>
      <c r="E14" s="4" t="s">
        <v>10</v>
      </c>
      <c r="F14" s="4" t="s">
        <v>20</v>
      </c>
      <c r="G14" s="4" t="s">
        <v>29</v>
      </c>
    </row>
    <row r="15" spans="1:7" x14ac:dyDescent="0.2">
      <c r="A15" s="4" t="s">
        <v>7</v>
      </c>
      <c r="B15" s="4" t="s">
        <v>34</v>
      </c>
      <c r="C15" s="5">
        <v>9.4469999999999992</v>
      </c>
      <c r="D15" s="4" t="s">
        <v>9</v>
      </c>
      <c r="E15" s="4" t="s">
        <v>10</v>
      </c>
      <c r="F15" s="4" t="s">
        <v>22</v>
      </c>
      <c r="G15" s="4" t="s">
        <v>29</v>
      </c>
    </row>
    <row r="16" spans="1:7" x14ac:dyDescent="0.2">
      <c r="A16" s="4" t="s">
        <v>7</v>
      </c>
      <c r="B16" s="4" t="s">
        <v>35</v>
      </c>
      <c r="C16" s="5">
        <v>93.736000000000004</v>
      </c>
      <c r="D16" s="4" t="s">
        <v>9</v>
      </c>
      <c r="E16" s="4" t="s">
        <v>10</v>
      </c>
      <c r="F16" s="4" t="s">
        <v>24</v>
      </c>
      <c r="G16" s="4" t="s">
        <v>29</v>
      </c>
    </row>
    <row r="17" spans="1:7" x14ac:dyDescent="0.2">
      <c r="A17" s="4" t="s">
        <v>7</v>
      </c>
      <c r="B17" s="4" t="s">
        <v>36</v>
      </c>
      <c r="C17" s="5">
        <v>15.408094999999999</v>
      </c>
      <c r="D17" s="4" t="s">
        <v>26</v>
      </c>
      <c r="E17" s="4" t="s">
        <v>10</v>
      </c>
      <c r="F17" s="4" t="s">
        <v>27</v>
      </c>
      <c r="G17" s="4" t="s">
        <v>29</v>
      </c>
    </row>
    <row r="18" spans="1:7" x14ac:dyDescent="0.2">
      <c r="A18" s="4" t="s">
        <v>7</v>
      </c>
      <c r="B18" s="4" t="s">
        <v>37</v>
      </c>
      <c r="C18" s="5">
        <v>416.161</v>
      </c>
      <c r="D18" s="4" t="s">
        <v>9</v>
      </c>
      <c r="E18" s="4" t="s">
        <v>10</v>
      </c>
      <c r="F18" s="4" t="s">
        <v>11</v>
      </c>
      <c r="G18" s="4" t="s">
        <v>38</v>
      </c>
    </row>
    <row r="19" spans="1:7" x14ac:dyDescent="0.2">
      <c r="A19" s="4" t="s">
        <v>7</v>
      </c>
      <c r="B19" s="4" t="s">
        <v>39</v>
      </c>
      <c r="C19" s="5">
        <v>133.05000000000001</v>
      </c>
      <c r="D19" s="4" t="s">
        <v>9</v>
      </c>
      <c r="E19" s="4" t="s">
        <v>10</v>
      </c>
      <c r="F19" s="4" t="s">
        <v>14</v>
      </c>
      <c r="G19" s="4" t="s">
        <v>38</v>
      </c>
    </row>
    <row r="20" spans="1:7" x14ac:dyDescent="0.2">
      <c r="A20" s="4" t="s">
        <v>7</v>
      </c>
      <c r="B20" s="4" t="s">
        <v>40</v>
      </c>
      <c r="C20" s="5">
        <v>132.72900000000001</v>
      </c>
      <c r="D20" s="4" t="s">
        <v>9</v>
      </c>
      <c r="E20" s="4" t="s">
        <v>10</v>
      </c>
      <c r="F20" s="4" t="s">
        <v>16</v>
      </c>
      <c r="G20" s="4" t="s">
        <v>38</v>
      </c>
    </row>
    <row r="21" spans="1:7" x14ac:dyDescent="0.2">
      <c r="A21" s="4" t="s">
        <v>7</v>
      </c>
      <c r="B21" s="4" t="s">
        <v>41</v>
      </c>
      <c r="C21" s="5">
        <v>20.719000000000001</v>
      </c>
      <c r="D21" s="4" t="s">
        <v>9</v>
      </c>
      <c r="E21" s="4" t="s">
        <v>10</v>
      </c>
      <c r="F21" s="4" t="s">
        <v>18</v>
      </c>
      <c r="G21" s="4" t="s">
        <v>38</v>
      </c>
    </row>
    <row r="22" spans="1:7" x14ac:dyDescent="0.2">
      <c r="A22" s="4" t="s">
        <v>7</v>
      </c>
      <c r="B22" s="4" t="s">
        <v>42</v>
      </c>
      <c r="C22" s="5">
        <v>11.698</v>
      </c>
      <c r="D22" s="4" t="s">
        <v>9</v>
      </c>
      <c r="E22" s="4" t="s">
        <v>10</v>
      </c>
      <c r="F22" s="4" t="s">
        <v>20</v>
      </c>
      <c r="G22" s="4" t="s">
        <v>38</v>
      </c>
    </row>
    <row r="23" spans="1:7" x14ac:dyDescent="0.2">
      <c r="A23" s="4" t="s">
        <v>7</v>
      </c>
      <c r="B23" s="4" t="s">
        <v>43</v>
      </c>
      <c r="C23" s="5">
        <v>12.715</v>
      </c>
      <c r="D23" s="4" t="s">
        <v>9</v>
      </c>
      <c r="E23" s="4" t="s">
        <v>10</v>
      </c>
      <c r="F23" s="4" t="s">
        <v>22</v>
      </c>
      <c r="G23" s="4" t="s">
        <v>38</v>
      </c>
    </row>
    <row r="24" spans="1:7" x14ac:dyDescent="0.2">
      <c r="A24" s="4" t="s">
        <v>7</v>
      </c>
      <c r="B24" s="4" t="s">
        <v>44</v>
      </c>
      <c r="C24" s="5">
        <v>112.01</v>
      </c>
      <c r="D24" s="4" t="s">
        <v>9</v>
      </c>
      <c r="E24" s="4" t="s">
        <v>10</v>
      </c>
      <c r="F24" s="4" t="s">
        <v>24</v>
      </c>
      <c r="G24" s="4" t="s">
        <v>38</v>
      </c>
    </row>
    <row r="25" spans="1:7" x14ac:dyDescent="0.2">
      <c r="A25" s="4" t="s">
        <v>7</v>
      </c>
      <c r="B25" s="4" t="s">
        <v>45</v>
      </c>
      <c r="C25" s="5">
        <v>15.004697</v>
      </c>
      <c r="D25" s="4" t="s">
        <v>26</v>
      </c>
      <c r="E25" s="4" t="s">
        <v>10</v>
      </c>
      <c r="F25" s="4" t="s">
        <v>27</v>
      </c>
      <c r="G25" s="4" t="s">
        <v>38</v>
      </c>
    </row>
    <row r="26" spans="1:7" x14ac:dyDescent="0.2">
      <c r="A26" s="4" t="s">
        <v>7</v>
      </c>
      <c r="B26" s="4" t="s">
        <v>46</v>
      </c>
      <c r="C26" s="5">
        <v>35.933999999999997</v>
      </c>
      <c r="D26" s="4" t="s">
        <v>9</v>
      </c>
      <c r="E26" s="4" t="s">
        <v>10</v>
      </c>
      <c r="F26" s="4" t="s">
        <v>47</v>
      </c>
      <c r="G26" s="4" t="s">
        <v>38</v>
      </c>
    </row>
    <row r="27" spans="1:7" x14ac:dyDescent="0.2">
      <c r="A27" s="4" t="s">
        <v>7</v>
      </c>
      <c r="B27" s="4" t="s">
        <v>48</v>
      </c>
      <c r="C27" s="5">
        <v>18.763000000000002</v>
      </c>
      <c r="D27" s="4" t="s">
        <v>9</v>
      </c>
      <c r="E27" s="4" t="s">
        <v>10</v>
      </c>
      <c r="F27" s="4" t="s">
        <v>49</v>
      </c>
      <c r="G27" s="4" t="s">
        <v>38</v>
      </c>
    </row>
    <row r="28" spans="1:7" x14ac:dyDescent="0.2">
      <c r="A28" s="4" t="s">
        <v>7</v>
      </c>
      <c r="B28" s="4" t="s">
        <v>50</v>
      </c>
      <c r="C28" s="5">
        <v>77.722999999999999</v>
      </c>
      <c r="D28" s="4" t="s">
        <v>9</v>
      </c>
      <c r="E28" s="4" t="s">
        <v>10</v>
      </c>
      <c r="F28" s="4" t="s">
        <v>51</v>
      </c>
      <c r="G28" s="4" t="s">
        <v>38</v>
      </c>
    </row>
    <row r="29" spans="1:7" x14ac:dyDescent="0.2">
      <c r="A29" s="4" t="s">
        <v>7</v>
      </c>
      <c r="B29" s="4" t="s">
        <v>52</v>
      </c>
      <c r="C29" s="5">
        <v>12.35</v>
      </c>
      <c r="D29" s="4" t="s">
        <v>9</v>
      </c>
      <c r="E29" s="4" t="s">
        <v>10</v>
      </c>
      <c r="F29" s="4" t="s">
        <v>53</v>
      </c>
      <c r="G29" s="4" t="s">
        <v>38</v>
      </c>
    </row>
    <row r="30" spans="1:7" x14ac:dyDescent="0.2">
      <c r="A30" s="4" t="s">
        <v>7</v>
      </c>
      <c r="B30" s="4" t="s">
        <v>54</v>
      </c>
      <c r="C30" s="5">
        <v>7.9790000000000001</v>
      </c>
      <c r="D30" s="4" t="s">
        <v>9</v>
      </c>
      <c r="E30" s="4" t="s">
        <v>10</v>
      </c>
      <c r="F30" s="4" t="s">
        <v>55</v>
      </c>
      <c r="G30" s="4" t="s">
        <v>38</v>
      </c>
    </row>
    <row r="31" spans="1:7" x14ac:dyDescent="0.2">
      <c r="A31" s="4" t="s">
        <v>7</v>
      </c>
      <c r="B31" s="4" t="s">
        <v>56</v>
      </c>
      <c r="C31" s="5">
        <v>78.328000000000003</v>
      </c>
      <c r="D31" s="4" t="s">
        <v>9</v>
      </c>
      <c r="E31" s="4" t="s">
        <v>10</v>
      </c>
      <c r="F31" s="4" t="s">
        <v>57</v>
      </c>
      <c r="G31" s="4" t="s">
        <v>38</v>
      </c>
    </row>
    <row r="32" spans="1:7" x14ac:dyDescent="0.2">
      <c r="A32" s="4" t="s">
        <v>7</v>
      </c>
      <c r="B32" s="4" t="s">
        <v>58</v>
      </c>
      <c r="C32" s="5">
        <v>147.95699999999999</v>
      </c>
      <c r="D32" s="4" t="s">
        <v>9</v>
      </c>
      <c r="E32" s="4" t="s">
        <v>10</v>
      </c>
      <c r="F32" s="4" t="s">
        <v>59</v>
      </c>
      <c r="G32" s="4" t="s">
        <v>38</v>
      </c>
    </row>
    <row r="33" spans="1:7" x14ac:dyDescent="0.2">
      <c r="A33" s="4" t="s">
        <v>7</v>
      </c>
      <c r="B33" s="4" t="s">
        <v>60</v>
      </c>
      <c r="C33" s="5">
        <v>165.631</v>
      </c>
      <c r="D33" s="4" t="s">
        <v>9</v>
      </c>
      <c r="E33" s="4" t="s">
        <v>10</v>
      </c>
      <c r="F33" s="4" t="s">
        <v>61</v>
      </c>
      <c r="G33" s="4" t="s">
        <v>38</v>
      </c>
    </row>
    <row r="34" spans="1:7" x14ac:dyDescent="0.2">
      <c r="A34" s="4" t="s">
        <v>7</v>
      </c>
      <c r="B34" s="4" t="s">
        <v>62</v>
      </c>
      <c r="C34" s="5">
        <v>331.839</v>
      </c>
      <c r="D34" s="4" t="s">
        <v>9</v>
      </c>
      <c r="E34" s="4" t="s">
        <v>10</v>
      </c>
      <c r="F34" s="4" t="s">
        <v>11</v>
      </c>
      <c r="G34" s="4" t="s">
        <v>63</v>
      </c>
    </row>
    <row r="35" spans="1:7" x14ac:dyDescent="0.2">
      <c r="A35" s="4" t="s">
        <v>7</v>
      </c>
      <c r="B35" s="4" t="s">
        <v>64</v>
      </c>
      <c r="C35" s="5">
        <v>155.23699999999999</v>
      </c>
      <c r="D35" s="4" t="s">
        <v>9</v>
      </c>
      <c r="E35" s="4" t="s">
        <v>10</v>
      </c>
      <c r="F35" s="4" t="s">
        <v>14</v>
      </c>
      <c r="G35" s="4" t="s">
        <v>63</v>
      </c>
    </row>
    <row r="36" spans="1:7" x14ac:dyDescent="0.2">
      <c r="A36" s="4" t="s">
        <v>7</v>
      </c>
      <c r="B36" s="4" t="s">
        <v>65</v>
      </c>
      <c r="C36" s="5">
        <v>133.749</v>
      </c>
      <c r="D36" s="4" t="s">
        <v>9</v>
      </c>
      <c r="E36" s="4" t="s">
        <v>10</v>
      </c>
      <c r="F36" s="4" t="s">
        <v>24</v>
      </c>
      <c r="G36" s="4" t="s">
        <v>63</v>
      </c>
    </row>
    <row r="37" spans="1:7" x14ac:dyDescent="0.2">
      <c r="A37" s="4" t="s">
        <v>7</v>
      </c>
      <c r="B37" s="4" t="s">
        <v>66</v>
      </c>
      <c r="C37" s="5">
        <v>34.299999999999997</v>
      </c>
      <c r="D37" s="4" t="s">
        <v>9</v>
      </c>
      <c r="E37" s="4" t="s">
        <v>10</v>
      </c>
      <c r="F37" s="4" t="s">
        <v>67</v>
      </c>
      <c r="G37" s="4" t="s">
        <v>63</v>
      </c>
    </row>
    <row r="38" spans="1:7" x14ac:dyDescent="0.2">
      <c r="A38" s="4" t="s">
        <v>7</v>
      </c>
      <c r="B38" s="4" t="s">
        <v>68</v>
      </c>
      <c r="C38" s="5">
        <v>4.7</v>
      </c>
      <c r="D38" s="4" t="s">
        <v>9</v>
      </c>
      <c r="E38" s="4" t="s">
        <v>10</v>
      </c>
      <c r="F38" s="4" t="s">
        <v>69</v>
      </c>
      <c r="G38" s="4" t="s">
        <v>63</v>
      </c>
    </row>
    <row r="39" spans="1:7" x14ac:dyDescent="0.2">
      <c r="A39" s="4" t="s">
        <v>7</v>
      </c>
      <c r="B39" s="4" t="s">
        <v>70</v>
      </c>
      <c r="C39" s="5">
        <v>20.934999999999999</v>
      </c>
      <c r="D39" s="4" t="s">
        <v>9</v>
      </c>
      <c r="E39" s="4" t="s">
        <v>10</v>
      </c>
      <c r="F39" s="4" t="s">
        <v>47</v>
      </c>
      <c r="G39" s="4" t="s">
        <v>63</v>
      </c>
    </row>
    <row r="40" spans="1:7" x14ac:dyDescent="0.2">
      <c r="A40" s="4" t="s">
        <v>7</v>
      </c>
      <c r="B40" s="4" t="s">
        <v>71</v>
      </c>
      <c r="C40" s="5">
        <v>55.908000000000001</v>
      </c>
      <c r="D40" s="4" t="s">
        <v>9</v>
      </c>
      <c r="E40" s="4" t="s">
        <v>10</v>
      </c>
      <c r="F40" s="4" t="s">
        <v>72</v>
      </c>
      <c r="G40" s="4" t="s">
        <v>63</v>
      </c>
    </row>
    <row r="41" spans="1:7" x14ac:dyDescent="0.2">
      <c r="A41" s="4" t="s">
        <v>7</v>
      </c>
      <c r="B41" s="4" t="s">
        <v>73</v>
      </c>
      <c r="C41" s="5">
        <v>36.347999999999999</v>
      </c>
      <c r="D41" s="4" t="s">
        <v>9</v>
      </c>
      <c r="E41" s="4" t="s">
        <v>10</v>
      </c>
      <c r="F41" s="4" t="s">
        <v>74</v>
      </c>
      <c r="G41" s="4" t="s">
        <v>63</v>
      </c>
    </row>
    <row r="42" spans="1:7" x14ac:dyDescent="0.2">
      <c r="A42" s="4" t="s">
        <v>7</v>
      </c>
      <c r="B42" s="4" t="s">
        <v>75</v>
      </c>
      <c r="C42" s="5">
        <v>40.293999999999997</v>
      </c>
      <c r="D42" s="4" t="s">
        <v>9</v>
      </c>
      <c r="E42" s="4" t="s">
        <v>10</v>
      </c>
      <c r="F42" s="4" t="s">
        <v>76</v>
      </c>
      <c r="G42" s="4" t="s">
        <v>63</v>
      </c>
    </row>
    <row r="43" spans="1:7" x14ac:dyDescent="0.2">
      <c r="A43" s="4" t="s">
        <v>77</v>
      </c>
      <c r="B43" s="4" t="s">
        <v>78</v>
      </c>
      <c r="C43" s="6">
        <v>332.89</v>
      </c>
      <c r="D43" s="4" t="s">
        <v>79</v>
      </c>
      <c r="E43" s="4" t="s">
        <v>80</v>
      </c>
      <c r="F43" s="4" t="s">
        <v>81</v>
      </c>
      <c r="G43" s="4" t="s">
        <v>82</v>
      </c>
    </row>
    <row r="44" spans="1:7" x14ac:dyDescent="0.2">
      <c r="A44" s="4" t="s">
        <v>77</v>
      </c>
      <c r="B44" s="4" t="s">
        <v>83</v>
      </c>
      <c r="C44" s="6">
        <v>4858</v>
      </c>
      <c r="D44" s="4" t="s">
        <v>9</v>
      </c>
      <c r="E44" s="4" t="s">
        <v>80</v>
      </c>
      <c r="F44" s="4" t="s">
        <v>84</v>
      </c>
      <c r="G44" s="4" t="s">
        <v>82</v>
      </c>
    </row>
    <row r="45" spans="1:7" x14ac:dyDescent="0.2">
      <c r="A45" s="4" t="s">
        <v>77</v>
      </c>
      <c r="B45" s="4" t="s">
        <v>85</v>
      </c>
      <c r="C45" s="6">
        <v>529.76</v>
      </c>
      <c r="D45" s="4" t="s">
        <v>79</v>
      </c>
      <c r="E45" s="4" t="s">
        <v>80</v>
      </c>
      <c r="F45" s="4" t="s">
        <v>86</v>
      </c>
      <c r="G45" s="4" t="s">
        <v>87</v>
      </c>
    </row>
    <row r="46" spans="1:7" x14ac:dyDescent="0.2">
      <c r="A46" s="4" t="s">
        <v>77</v>
      </c>
      <c r="B46" s="4" t="s">
        <v>88</v>
      </c>
      <c r="C46" s="6">
        <v>3930</v>
      </c>
      <c r="D46" s="4" t="s">
        <v>9</v>
      </c>
      <c r="E46" s="4" t="s">
        <v>80</v>
      </c>
      <c r="F46" s="4" t="s">
        <v>89</v>
      </c>
      <c r="G46" s="4" t="s">
        <v>87</v>
      </c>
    </row>
    <row r="47" spans="1:7" x14ac:dyDescent="0.2">
      <c r="A47" s="4" t="s">
        <v>77</v>
      </c>
      <c r="B47" s="4" t="s">
        <v>90</v>
      </c>
      <c r="C47" s="7">
        <v>5.2699999999999997E-2</v>
      </c>
      <c r="D47" s="4" t="s">
        <v>91</v>
      </c>
      <c r="E47" s="4" t="s">
        <v>80</v>
      </c>
      <c r="F47" s="4" t="s">
        <v>92</v>
      </c>
      <c r="G47" s="4" t="s">
        <v>93</v>
      </c>
    </row>
    <row r="48" spans="1:7" x14ac:dyDescent="0.2">
      <c r="A48" s="4" t="s">
        <v>77</v>
      </c>
      <c r="B48" s="4" t="s">
        <v>94</v>
      </c>
      <c r="C48" s="18">
        <v>1.07</v>
      </c>
      <c r="D48" s="4" t="s">
        <v>95</v>
      </c>
      <c r="E48" s="4" t="s">
        <v>80</v>
      </c>
      <c r="F48" s="4" t="s">
        <v>96</v>
      </c>
      <c r="G48" s="4" t="s">
        <v>97</v>
      </c>
    </row>
    <row r="49" spans="1:7" x14ac:dyDescent="0.2">
      <c r="A49" s="4" t="s">
        <v>98</v>
      </c>
      <c r="B49" s="4" t="s">
        <v>99</v>
      </c>
      <c r="C49" s="8">
        <v>0.05</v>
      </c>
      <c r="D49" s="4" t="s">
        <v>91</v>
      </c>
      <c r="E49" s="4" t="s">
        <v>100</v>
      </c>
      <c r="F49" s="4" t="s">
        <v>101</v>
      </c>
      <c r="G49" s="4" t="s">
        <v>102</v>
      </c>
    </row>
    <row r="50" spans="1:7" x14ac:dyDescent="0.2">
      <c r="A50" s="4" t="s">
        <v>98</v>
      </c>
      <c r="B50" s="4" t="s">
        <v>103</v>
      </c>
      <c r="C50" s="8">
        <v>7.4999999999999997E-3</v>
      </c>
      <c r="D50" s="4" t="s">
        <v>91</v>
      </c>
      <c r="E50" s="4" t="s">
        <v>104</v>
      </c>
      <c r="F50" s="4" t="s">
        <v>105</v>
      </c>
      <c r="G50" s="4" t="s">
        <v>106</v>
      </c>
    </row>
    <row r="51" spans="1:7" x14ac:dyDescent="0.2">
      <c r="A51" s="4" t="s">
        <v>98</v>
      </c>
      <c r="B51" s="4" t="s">
        <v>107</v>
      </c>
      <c r="C51" s="8">
        <v>0.1516458828181145</v>
      </c>
      <c r="D51" s="4" t="s">
        <v>91</v>
      </c>
      <c r="E51" s="4" t="s">
        <v>108</v>
      </c>
      <c r="F51" s="4" t="s">
        <v>109</v>
      </c>
      <c r="G51" s="4" t="s">
        <v>106</v>
      </c>
    </row>
    <row r="52" spans="1:7" x14ac:dyDescent="0.2">
      <c r="A52" s="4" t="s">
        <v>98</v>
      </c>
      <c r="B52" s="4" t="s">
        <v>110</v>
      </c>
      <c r="C52" s="8">
        <v>2.5000000000000001E-2</v>
      </c>
      <c r="D52" s="4" t="s">
        <v>91</v>
      </c>
      <c r="E52" s="4" t="s">
        <v>111</v>
      </c>
      <c r="F52" s="4" t="s">
        <v>112</v>
      </c>
      <c r="G52" s="4" t="s">
        <v>106</v>
      </c>
    </row>
    <row r="53" spans="1:7" x14ac:dyDescent="0.2">
      <c r="A53" s="4" t="s">
        <v>98</v>
      </c>
      <c r="B53" s="4" t="s">
        <v>113</v>
      </c>
      <c r="C53" s="8">
        <v>0.315</v>
      </c>
      <c r="D53" s="4" t="s">
        <v>91</v>
      </c>
      <c r="E53" s="4" t="s">
        <v>111</v>
      </c>
      <c r="F53" s="4" t="s">
        <v>114</v>
      </c>
      <c r="G53" s="4" t="s">
        <v>106</v>
      </c>
    </row>
    <row r="54" spans="1:7" x14ac:dyDescent="0.2">
      <c r="A54" s="4" t="s">
        <v>98</v>
      </c>
      <c r="B54" s="4" t="s">
        <v>115</v>
      </c>
      <c r="C54" s="8">
        <v>2.9000000000000001E-2</v>
      </c>
      <c r="D54" s="4" t="s">
        <v>91</v>
      </c>
      <c r="E54" s="4" t="s">
        <v>111</v>
      </c>
      <c r="F54" s="4" t="s">
        <v>116</v>
      </c>
      <c r="G54" s="4" t="s">
        <v>106</v>
      </c>
    </row>
    <row r="55" spans="1:7" x14ac:dyDescent="0.2">
      <c r="A55" s="4" t="s">
        <v>98</v>
      </c>
      <c r="B55" s="4" t="s">
        <v>117</v>
      </c>
      <c r="C55" s="8">
        <v>2.8000000000000001E-2</v>
      </c>
      <c r="D55" s="4" t="s">
        <v>91</v>
      </c>
      <c r="E55" s="4" t="s">
        <v>111</v>
      </c>
      <c r="F55" s="4" t="s">
        <v>116</v>
      </c>
      <c r="G55" s="4" t="s">
        <v>106</v>
      </c>
    </row>
    <row r="56" spans="1:7" x14ac:dyDescent="0.2">
      <c r="A56" s="4" t="s">
        <v>98</v>
      </c>
      <c r="B56" s="4" t="s">
        <v>118</v>
      </c>
      <c r="C56" s="8">
        <v>-0.1250525637914173</v>
      </c>
      <c r="D56" s="4" t="s">
        <v>91</v>
      </c>
      <c r="E56" s="4" t="s">
        <v>111</v>
      </c>
      <c r="F56" s="4" t="s">
        <v>119</v>
      </c>
      <c r="G56" s="4" t="s">
        <v>106</v>
      </c>
    </row>
    <row r="57" spans="1:7" x14ac:dyDescent="0.2">
      <c r="A57" s="4" t="s">
        <v>98</v>
      </c>
      <c r="B57" s="4" t="s">
        <v>120</v>
      </c>
      <c r="C57" s="8">
        <v>4.4999999999999998E-2</v>
      </c>
      <c r="D57" s="4" t="s">
        <v>91</v>
      </c>
      <c r="E57" s="4" t="s">
        <v>111</v>
      </c>
      <c r="F57" s="4" t="s">
        <v>121</v>
      </c>
      <c r="G57" s="4" t="s">
        <v>106</v>
      </c>
    </row>
    <row r="58" spans="1:7" x14ac:dyDescent="0.2">
      <c r="A58" s="4" t="s">
        <v>98</v>
      </c>
      <c r="B58" s="4" t="s">
        <v>122</v>
      </c>
      <c r="C58" s="8">
        <v>0.04</v>
      </c>
      <c r="D58" s="4" t="s">
        <v>91</v>
      </c>
      <c r="E58" s="4" t="s">
        <v>111</v>
      </c>
      <c r="F58" s="4" t="s">
        <v>121</v>
      </c>
      <c r="G58" s="4" t="s">
        <v>106</v>
      </c>
    </row>
    <row r="59" spans="1:7" x14ac:dyDescent="0.2">
      <c r="A59" s="4" t="s">
        <v>98</v>
      </c>
      <c r="B59" s="4" t="s">
        <v>123</v>
      </c>
      <c r="C59" s="8">
        <v>3.5000000000000003E-2</v>
      </c>
      <c r="D59" s="4" t="s">
        <v>91</v>
      </c>
      <c r="E59" s="4" t="s">
        <v>111</v>
      </c>
      <c r="F59" s="4" t="s">
        <v>121</v>
      </c>
      <c r="G59" s="4" t="s">
        <v>106</v>
      </c>
    </row>
    <row r="60" spans="1:7" x14ac:dyDescent="0.2">
      <c r="A60" s="4" t="s">
        <v>98</v>
      </c>
      <c r="B60" s="4" t="s">
        <v>124</v>
      </c>
      <c r="C60" s="8">
        <v>0.03</v>
      </c>
      <c r="D60" s="4" t="s">
        <v>91</v>
      </c>
      <c r="E60" s="4" t="s">
        <v>111</v>
      </c>
      <c r="F60" s="4" t="s">
        <v>121</v>
      </c>
      <c r="G60" s="4" t="s">
        <v>106</v>
      </c>
    </row>
    <row r="61" spans="1:7" x14ac:dyDescent="0.2">
      <c r="A61" s="4" t="s">
        <v>98</v>
      </c>
      <c r="B61" s="4" t="s">
        <v>125</v>
      </c>
      <c r="C61" s="8">
        <v>2.5000000000000001E-2</v>
      </c>
      <c r="D61" s="4" t="s">
        <v>91</v>
      </c>
      <c r="E61" s="4" t="s">
        <v>111</v>
      </c>
      <c r="F61" s="4" t="s">
        <v>121</v>
      </c>
      <c r="G61" s="4" t="s">
        <v>106</v>
      </c>
    </row>
    <row r="62" spans="1:7" x14ac:dyDescent="0.2">
      <c r="A62" s="4" t="s">
        <v>98</v>
      </c>
      <c r="B62" s="4" t="s">
        <v>126</v>
      </c>
      <c r="C62" s="9">
        <v>20</v>
      </c>
      <c r="D62" s="4" t="s">
        <v>127</v>
      </c>
      <c r="E62" s="4" t="s">
        <v>128</v>
      </c>
      <c r="F62" s="4" t="s">
        <v>129</v>
      </c>
      <c r="G62" s="4" t="s">
        <v>106</v>
      </c>
    </row>
    <row r="63" spans="1:7" x14ac:dyDescent="0.2">
      <c r="A63" s="4" t="s">
        <v>98</v>
      </c>
      <c r="B63" s="4" t="s">
        <v>130</v>
      </c>
      <c r="C63" s="9">
        <v>19</v>
      </c>
      <c r="D63" s="4" t="s">
        <v>127</v>
      </c>
      <c r="E63" s="4" t="s">
        <v>128</v>
      </c>
      <c r="F63" s="4" t="s">
        <v>131</v>
      </c>
      <c r="G63" s="4" t="s">
        <v>106</v>
      </c>
    </row>
    <row r="64" spans="1:7" x14ac:dyDescent="0.2">
      <c r="A64" s="4" t="s">
        <v>98</v>
      </c>
      <c r="B64" s="4" t="s">
        <v>132</v>
      </c>
      <c r="C64" s="9">
        <v>3.5</v>
      </c>
      <c r="D64" s="4" t="s">
        <v>127</v>
      </c>
      <c r="E64" s="4" t="s">
        <v>128</v>
      </c>
      <c r="F64" s="4" t="s">
        <v>133</v>
      </c>
      <c r="G64" s="4" t="s">
        <v>106</v>
      </c>
    </row>
    <row r="65" spans="1:7" x14ac:dyDescent="0.2">
      <c r="A65" s="4" t="s">
        <v>98</v>
      </c>
      <c r="B65" s="4" t="s">
        <v>134</v>
      </c>
      <c r="C65" s="9">
        <v>1.5</v>
      </c>
      <c r="D65" s="4" t="s">
        <v>127</v>
      </c>
      <c r="E65" s="4" t="s">
        <v>128</v>
      </c>
      <c r="F65" s="4" t="s">
        <v>135</v>
      </c>
      <c r="G65" s="4" t="s">
        <v>106</v>
      </c>
    </row>
    <row r="66" spans="1:7" x14ac:dyDescent="0.2">
      <c r="A66" s="4" t="s">
        <v>98</v>
      </c>
      <c r="B66" s="4" t="s">
        <v>136</v>
      </c>
      <c r="C66" s="8">
        <v>2.5000000000000001E-2</v>
      </c>
      <c r="D66" s="4" t="s">
        <v>91</v>
      </c>
      <c r="E66" s="4" t="s">
        <v>128</v>
      </c>
      <c r="F66" s="4" t="s">
        <v>137</v>
      </c>
      <c r="G66" s="4" t="s">
        <v>106</v>
      </c>
    </row>
    <row r="67" spans="1:7" x14ac:dyDescent="0.2">
      <c r="A67" s="4" t="s">
        <v>98</v>
      </c>
      <c r="B67" s="4" t="s">
        <v>138</v>
      </c>
      <c r="C67" s="8">
        <v>3.2500000000000001E-2</v>
      </c>
      <c r="D67" s="4" t="s">
        <v>91</v>
      </c>
      <c r="E67" s="4" t="s">
        <v>128</v>
      </c>
      <c r="F67" s="4" t="s">
        <v>137</v>
      </c>
      <c r="G67" s="4" t="s">
        <v>106</v>
      </c>
    </row>
    <row r="68" spans="1:7" x14ac:dyDescent="0.2">
      <c r="A68" s="4" t="s">
        <v>98</v>
      </c>
      <c r="B68" s="4" t="s">
        <v>139</v>
      </c>
      <c r="C68" s="9">
        <v>0.01</v>
      </c>
      <c r="D68" s="4" t="s">
        <v>140</v>
      </c>
      <c r="E68" s="4" t="s">
        <v>128</v>
      </c>
      <c r="F68" s="4" t="s">
        <v>141</v>
      </c>
      <c r="G68" s="4" t="s">
        <v>106</v>
      </c>
    </row>
    <row r="69" spans="1:7" x14ac:dyDescent="0.2">
      <c r="A69" s="4" t="s">
        <v>98</v>
      </c>
      <c r="B69" s="4" t="s">
        <v>142</v>
      </c>
      <c r="C69" s="9">
        <v>0.01</v>
      </c>
      <c r="D69" s="4" t="s">
        <v>143</v>
      </c>
      <c r="E69" s="4" t="s">
        <v>128</v>
      </c>
      <c r="F69" s="4" t="s">
        <v>144</v>
      </c>
      <c r="G69" s="4" t="s">
        <v>106</v>
      </c>
    </row>
    <row r="70" spans="1:7" x14ac:dyDescent="0.2">
      <c r="A70" s="4" t="s">
        <v>98</v>
      </c>
      <c r="B70" s="4" t="s">
        <v>145</v>
      </c>
      <c r="C70" s="8">
        <v>0.2</v>
      </c>
      <c r="D70" s="4" t="s">
        <v>91</v>
      </c>
      <c r="E70" s="4" t="s">
        <v>128</v>
      </c>
      <c r="F70" s="4" t="s">
        <v>146</v>
      </c>
      <c r="G70" s="4" t="s">
        <v>106</v>
      </c>
    </row>
    <row r="71" spans="1:7" x14ac:dyDescent="0.2">
      <c r="A71" s="4" t="s">
        <v>98</v>
      </c>
      <c r="B71" s="4" t="s">
        <v>147</v>
      </c>
      <c r="C71" s="9">
        <v>5</v>
      </c>
      <c r="D71" s="4" t="s">
        <v>148</v>
      </c>
      <c r="E71" s="4" t="s">
        <v>128</v>
      </c>
      <c r="F71" s="4" t="s">
        <v>149</v>
      </c>
      <c r="G71" s="4" t="s">
        <v>106</v>
      </c>
    </row>
    <row r="72" spans="1:7" x14ac:dyDescent="0.2">
      <c r="A72" s="4" t="s">
        <v>150</v>
      </c>
      <c r="B72" s="4" t="s">
        <v>151</v>
      </c>
      <c r="C72" s="10">
        <f>(C32-C26-C27)-(C33-C29-C30)</f>
        <v>-52.042000000000002</v>
      </c>
      <c r="D72" s="4" t="s">
        <v>9</v>
      </c>
      <c r="E72" s="4" t="s">
        <v>152</v>
      </c>
      <c r="F72" s="4" t="s">
        <v>153</v>
      </c>
      <c r="G72" s="4" t="s">
        <v>38</v>
      </c>
    </row>
    <row r="73" spans="1:7" x14ac:dyDescent="0.2">
      <c r="A73" t="s">
        <v>154</v>
      </c>
      <c r="B73" t="s">
        <v>155</v>
      </c>
      <c r="C73" s="19">
        <v>11.62</v>
      </c>
      <c r="D73" t="s">
        <v>95</v>
      </c>
      <c r="E73" t="s">
        <v>156</v>
      </c>
      <c r="F73" t="s">
        <v>157</v>
      </c>
      <c r="G73" t="s">
        <v>158</v>
      </c>
    </row>
    <row r="74" spans="1:7" x14ac:dyDescent="0.2">
      <c r="A74" t="s">
        <v>154</v>
      </c>
      <c r="B74" t="s">
        <v>159</v>
      </c>
      <c r="C74" s="19">
        <v>19.86</v>
      </c>
      <c r="D74" t="s">
        <v>95</v>
      </c>
      <c r="E74" t="s">
        <v>156</v>
      </c>
      <c r="F74" t="s">
        <v>160</v>
      </c>
      <c r="G74" t="s">
        <v>158</v>
      </c>
    </row>
    <row r="75" spans="1:7" x14ac:dyDescent="0.2">
      <c r="A75" t="s">
        <v>154</v>
      </c>
      <c r="B75" t="s">
        <v>161</v>
      </c>
      <c r="C75" s="19">
        <v>29.38</v>
      </c>
      <c r="D75" t="s">
        <v>95</v>
      </c>
      <c r="E75" t="s">
        <v>156</v>
      </c>
      <c r="F75" t="s">
        <v>162</v>
      </c>
      <c r="G75" t="s">
        <v>158</v>
      </c>
    </row>
    <row r="76" spans="1:7" x14ac:dyDescent="0.2">
      <c r="A76" t="s">
        <v>98</v>
      </c>
      <c r="B76" t="s">
        <v>163</v>
      </c>
      <c r="C76">
        <v>7</v>
      </c>
      <c r="D76" t="s">
        <v>148</v>
      </c>
      <c r="E76" t="s">
        <v>128</v>
      </c>
      <c r="F76" t="s">
        <v>164</v>
      </c>
      <c r="G76" t="s">
        <v>106</v>
      </c>
    </row>
    <row r="77" spans="1:7" x14ac:dyDescent="0.2">
      <c r="A77" t="s">
        <v>98</v>
      </c>
      <c r="B77" t="s">
        <v>165</v>
      </c>
      <c r="C77">
        <v>10</v>
      </c>
      <c r="D77" t="s">
        <v>148</v>
      </c>
      <c r="E77" t="s">
        <v>128</v>
      </c>
      <c r="F77" t="s">
        <v>166</v>
      </c>
      <c r="G77" t="s">
        <v>106</v>
      </c>
    </row>
    <row r="78" spans="1:7" x14ac:dyDescent="0.2">
      <c r="A78" t="s">
        <v>98</v>
      </c>
      <c r="B78" t="s">
        <v>167</v>
      </c>
      <c r="C78">
        <v>0</v>
      </c>
      <c r="D78" t="s">
        <v>140</v>
      </c>
      <c r="E78" t="s">
        <v>128</v>
      </c>
      <c r="F78" t="s">
        <v>168</v>
      </c>
      <c r="G78" t="s">
        <v>106</v>
      </c>
    </row>
    <row r="79" spans="1:7" x14ac:dyDescent="0.2">
      <c r="A79" t="s">
        <v>98</v>
      </c>
      <c r="B79" t="s">
        <v>169</v>
      </c>
      <c r="C79">
        <v>1</v>
      </c>
      <c r="D79" t="s">
        <v>91</v>
      </c>
      <c r="E79" t="s">
        <v>128</v>
      </c>
      <c r="F79" t="s">
        <v>170</v>
      </c>
      <c r="G79" t="s">
        <v>106</v>
      </c>
    </row>
    <row r="80" spans="1:7" x14ac:dyDescent="0.2">
      <c r="A80" t="s">
        <v>98</v>
      </c>
      <c r="B80" t="s">
        <v>171</v>
      </c>
      <c r="C80">
        <v>0</v>
      </c>
      <c r="D80" t="s">
        <v>9</v>
      </c>
      <c r="E80" t="s">
        <v>128</v>
      </c>
      <c r="F80" t="s">
        <v>172</v>
      </c>
      <c r="G80" t="s">
        <v>106</v>
      </c>
    </row>
    <row r="81" spans="1:7" x14ac:dyDescent="0.2">
      <c r="A81" t="s">
        <v>98</v>
      </c>
      <c r="B81" t="s">
        <v>173</v>
      </c>
      <c r="C81">
        <v>0</v>
      </c>
      <c r="D81" t="s">
        <v>9</v>
      </c>
      <c r="E81" t="s">
        <v>128</v>
      </c>
      <c r="F81" t="s">
        <v>174</v>
      </c>
      <c r="G81" t="s">
        <v>106</v>
      </c>
    </row>
    <row r="82" spans="1:7" x14ac:dyDescent="0.2">
      <c r="A82" s="2" t="s">
        <v>7</v>
      </c>
      <c r="B82" s="2" t="s">
        <v>175</v>
      </c>
      <c r="C82" s="20">
        <v>402.83600000000001</v>
      </c>
      <c r="D82" s="2" t="s">
        <v>9</v>
      </c>
      <c r="E82" s="2" t="s">
        <v>10</v>
      </c>
      <c r="F82" s="2" t="s">
        <v>176</v>
      </c>
      <c r="G82" s="2" t="s">
        <v>177</v>
      </c>
    </row>
    <row r="83" spans="1:7" x14ac:dyDescent="0.2">
      <c r="A83" s="2" t="s">
        <v>7</v>
      </c>
      <c r="B83" s="2" t="s">
        <v>178</v>
      </c>
      <c r="C83" s="20">
        <v>129.03899999999999</v>
      </c>
      <c r="D83" s="2" t="s">
        <v>9</v>
      </c>
      <c r="E83" s="2" t="s">
        <v>10</v>
      </c>
      <c r="F83" s="2" t="s">
        <v>14</v>
      </c>
      <c r="G83" s="2" t="s">
        <v>177</v>
      </c>
    </row>
    <row r="84" spans="1:7" x14ac:dyDescent="0.2">
      <c r="A84" s="2" t="s">
        <v>7</v>
      </c>
      <c r="B84" s="2" t="s">
        <v>179</v>
      </c>
      <c r="C84" s="20">
        <v>21.135999999999999</v>
      </c>
      <c r="D84" s="2" t="s">
        <v>9</v>
      </c>
      <c r="E84" s="2" t="s">
        <v>10</v>
      </c>
      <c r="F84" s="2" t="s">
        <v>67</v>
      </c>
      <c r="G84" s="2" t="s">
        <v>177</v>
      </c>
    </row>
    <row r="85" spans="1:7" x14ac:dyDescent="0.2">
      <c r="A85" s="2" t="s">
        <v>7</v>
      </c>
      <c r="B85" s="2" t="s">
        <v>180</v>
      </c>
      <c r="C85" s="20">
        <v>132.16999999999999</v>
      </c>
      <c r="D85" s="2" t="s">
        <v>9</v>
      </c>
      <c r="E85" s="2" t="s">
        <v>10</v>
      </c>
      <c r="F85" s="2" t="s">
        <v>24</v>
      </c>
      <c r="G85" s="2" t="s">
        <v>177</v>
      </c>
    </row>
    <row r="86" spans="1:7" x14ac:dyDescent="0.2">
      <c r="A86" s="2" t="s">
        <v>7</v>
      </c>
      <c r="B86" s="2" t="s">
        <v>181</v>
      </c>
      <c r="C86" s="20">
        <f>SUM(Inputs!$C$137,Inputs!$C$138,Inputs!$C$88)</f>
        <v>48.542999999999999</v>
      </c>
      <c r="D86" s="2" t="s">
        <v>9</v>
      </c>
      <c r="E86" s="2" t="s">
        <v>182</v>
      </c>
      <c r="F86" s="2" t="s">
        <v>183</v>
      </c>
      <c r="G86" s="2" t="s">
        <v>177</v>
      </c>
    </row>
    <row r="87" spans="1:7" x14ac:dyDescent="0.2">
      <c r="A87" s="2" t="s">
        <v>7</v>
      </c>
      <c r="B87" s="2" t="s">
        <v>184</v>
      </c>
      <c r="C87" s="20">
        <f>SUM(Inputs!$C$135,Inputs!$C$136)</f>
        <v>195.53</v>
      </c>
      <c r="D87" s="2" t="s">
        <v>9</v>
      </c>
      <c r="E87" s="2" t="s">
        <v>182</v>
      </c>
      <c r="F87" s="2" t="s">
        <v>185</v>
      </c>
      <c r="G87" s="2" t="s">
        <v>177</v>
      </c>
    </row>
    <row r="88" spans="1:7" x14ac:dyDescent="0.2">
      <c r="A88" s="2" t="s">
        <v>7</v>
      </c>
      <c r="B88" s="2" t="s">
        <v>186</v>
      </c>
      <c r="C88" s="20">
        <v>0</v>
      </c>
      <c r="D88" s="2" t="s">
        <v>9</v>
      </c>
      <c r="E88" s="2" t="s">
        <v>10</v>
      </c>
      <c r="F88" s="2" t="s">
        <v>187</v>
      </c>
      <c r="G88" s="2" t="s">
        <v>177</v>
      </c>
    </row>
    <row r="89" spans="1:7" x14ac:dyDescent="0.2">
      <c r="A89" s="2" t="s">
        <v>7</v>
      </c>
      <c r="B89" s="2" t="s">
        <v>188</v>
      </c>
      <c r="C89" s="20">
        <v>716.92399999999998</v>
      </c>
      <c r="D89" s="2" t="s">
        <v>9</v>
      </c>
      <c r="E89" s="2" t="s">
        <v>10</v>
      </c>
      <c r="F89" s="2" t="s">
        <v>11</v>
      </c>
      <c r="G89" s="2" t="s">
        <v>189</v>
      </c>
    </row>
    <row r="90" spans="1:7" x14ac:dyDescent="0.2">
      <c r="A90" s="2" t="s">
        <v>7</v>
      </c>
      <c r="B90" s="2" t="s">
        <v>190</v>
      </c>
      <c r="C90" s="20">
        <v>79.974999999999994</v>
      </c>
      <c r="D90" s="2" t="s">
        <v>9</v>
      </c>
      <c r="E90" s="2" t="s">
        <v>10</v>
      </c>
      <c r="F90" s="2" t="s">
        <v>14</v>
      </c>
      <c r="G90" s="2" t="s">
        <v>189</v>
      </c>
    </row>
    <row r="91" spans="1:7" x14ac:dyDescent="0.2">
      <c r="A91" s="2" t="s">
        <v>7</v>
      </c>
      <c r="B91" s="2" t="s">
        <v>191</v>
      </c>
      <c r="C91" s="20">
        <v>41.86</v>
      </c>
      <c r="D91" s="2" t="s">
        <v>9</v>
      </c>
      <c r="E91" s="2" t="s">
        <v>10</v>
      </c>
      <c r="F91" s="2" t="s">
        <v>67</v>
      </c>
      <c r="G91" s="2" t="s">
        <v>189</v>
      </c>
    </row>
    <row r="92" spans="1:7" x14ac:dyDescent="0.2">
      <c r="A92" s="2" t="s">
        <v>7</v>
      </c>
      <c r="B92" s="2" t="s">
        <v>192</v>
      </c>
      <c r="C92" s="20">
        <v>0.81699999999999995</v>
      </c>
      <c r="D92" s="2" t="s">
        <v>9</v>
      </c>
      <c r="E92" s="2" t="s">
        <v>10</v>
      </c>
      <c r="F92" s="2" t="s">
        <v>69</v>
      </c>
      <c r="G92" s="2" t="s">
        <v>189</v>
      </c>
    </row>
    <row r="93" spans="1:7" x14ac:dyDescent="0.2">
      <c r="A93" s="2" t="s">
        <v>7</v>
      </c>
      <c r="B93" s="2" t="s">
        <v>193</v>
      </c>
      <c r="C93" s="20">
        <v>77.67</v>
      </c>
      <c r="D93" s="2" t="s">
        <v>9</v>
      </c>
      <c r="E93" s="2" t="s">
        <v>10</v>
      </c>
      <c r="F93" s="2" t="s">
        <v>24</v>
      </c>
      <c r="G93" s="2" t="s">
        <v>189</v>
      </c>
    </row>
    <row r="94" spans="1:7" x14ac:dyDescent="0.2">
      <c r="A94" s="2" t="s">
        <v>7</v>
      </c>
      <c r="B94" s="2" t="s">
        <v>194</v>
      </c>
      <c r="C94" s="20">
        <f>SUM(Inputs!$C$141,Inputs!$C$142)</f>
        <v>68.396000000000001</v>
      </c>
      <c r="D94" s="2" t="s">
        <v>9</v>
      </c>
      <c r="E94" s="2" t="s">
        <v>182</v>
      </c>
      <c r="F94" s="2" t="s">
        <v>195</v>
      </c>
      <c r="G94" s="2" t="s">
        <v>189</v>
      </c>
    </row>
    <row r="95" spans="1:7" x14ac:dyDescent="0.2">
      <c r="A95" s="2" t="s">
        <v>7</v>
      </c>
      <c r="B95" s="2" t="s">
        <v>196</v>
      </c>
      <c r="C95" s="20">
        <f>SUM(Inputs!$C$139,Inputs!$C$140)</f>
        <v>123.029</v>
      </c>
      <c r="D95" s="2" t="s">
        <v>9</v>
      </c>
      <c r="E95" s="2" t="s">
        <v>182</v>
      </c>
      <c r="F95" s="2" t="s">
        <v>197</v>
      </c>
      <c r="G95" s="2" t="s">
        <v>189</v>
      </c>
    </row>
    <row r="96" spans="1:7" x14ac:dyDescent="0.2">
      <c r="A96" s="2" t="s">
        <v>7</v>
      </c>
      <c r="B96" s="2" t="s">
        <v>198</v>
      </c>
      <c r="C96" s="3" t="s">
        <v>199</v>
      </c>
      <c r="D96" s="2" t="s">
        <v>9</v>
      </c>
      <c r="E96" s="2" t="s">
        <v>200</v>
      </c>
      <c r="F96" s="2" t="s">
        <v>55</v>
      </c>
      <c r="G96" s="2" t="s">
        <v>201</v>
      </c>
    </row>
    <row r="97" spans="1:7" x14ac:dyDescent="0.2">
      <c r="A97" s="2" t="s">
        <v>7</v>
      </c>
      <c r="B97" s="2" t="s">
        <v>202</v>
      </c>
      <c r="C97" s="20">
        <v>200.96600000000001</v>
      </c>
      <c r="D97" s="2" t="s">
        <v>9</v>
      </c>
      <c r="E97" s="2" t="s">
        <v>10</v>
      </c>
      <c r="F97" s="2" t="s">
        <v>11</v>
      </c>
      <c r="G97" s="2" t="s">
        <v>203</v>
      </c>
    </row>
    <row r="98" spans="1:7" x14ac:dyDescent="0.2">
      <c r="A98" s="2" t="s">
        <v>7</v>
      </c>
      <c r="B98" s="2" t="s">
        <v>204</v>
      </c>
      <c r="C98" s="20">
        <v>83.275999999999996</v>
      </c>
      <c r="D98" s="2" t="s">
        <v>9</v>
      </c>
      <c r="E98" s="2" t="s">
        <v>10</v>
      </c>
      <c r="F98" s="2" t="s">
        <v>14</v>
      </c>
      <c r="G98" s="2" t="s">
        <v>203</v>
      </c>
    </row>
    <row r="99" spans="1:7" x14ac:dyDescent="0.2">
      <c r="A99" s="2" t="s">
        <v>7</v>
      </c>
      <c r="B99" s="2" t="s">
        <v>205</v>
      </c>
      <c r="C99" s="20">
        <v>18</v>
      </c>
      <c r="D99" s="2" t="s">
        <v>9</v>
      </c>
      <c r="E99" s="2" t="s">
        <v>10</v>
      </c>
      <c r="F99" s="2" t="s">
        <v>67</v>
      </c>
      <c r="G99" s="2" t="s">
        <v>203</v>
      </c>
    </row>
    <row r="100" spans="1:7" x14ac:dyDescent="0.2">
      <c r="A100" s="2" t="s">
        <v>7</v>
      </c>
      <c r="B100" s="2" t="s">
        <v>206</v>
      </c>
      <c r="C100" s="20">
        <v>0.61499999999999999</v>
      </c>
      <c r="D100" s="2" t="s">
        <v>9</v>
      </c>
      <c r="E100" s="2" t="s">
        <v>10</v>
      </c>
      <c r="F100" s="2" t="s">
        <v>69</v>
      </c>
      <c r="G100" s="2" t="s">
        <v>203</v>
      </c>
    </row>
    <row r="101" spans="1:7" x14ac:dyDescent="0.2">
      <c r="A101" s="2" t="s">
        <v>7</v>
      </c>
      <c r="B101" s="2" t="s">
        <v>207</v>
      </c>
      <c r="C101" s="20">
        <v>60.457999999999998</v>
      </c>
      <c r="D101" s="2" t="s">
        <v>9</v>
      </c>
      <c r="E101" s="2" t="s">
        <v>10</v>
      </c>
      <c r="F101" s="2" t="s">
        <v>24</v>
      </c>
      <c r="G101" s="2" t="s">
        <v>203</v>
      </c>
    </row>
    <row r="102" spans="1:7" x14ac:dyDescent="0.2">
      <c r="A102" s="2" t="s">
        <v>7</v>
      </c>
      <c r="B102" s="2" t="s">
        <v>208</v>
      </c>
      <c r="C102" s="20">
        <v>58.744</v>
      </c>
      <c r="D102" s="2" t="s">
        <v>9</v>
      </c>
      <c r="E102" s="2" t="s">
        <v>10</v>
      </c>
      <c r="F102" s="2" t="s">
        <v>57</v>
      </c>
      <c r="G102" s="2" t="s">
        <v>203</v>
      </c>
    </row>
    <row r="103" spans="1:7" x14ac:dyDescent="0.2">
      <c r="A103" s="2" t="s">
        <v>7</v>
      </c>
      <c r="B103" s="2" t="s">
        <v>209</v>
      </c>
      <c r="C103" s="3" t="s">
        <v>199</v>
      </c>
      <c r="D103" s="2" t="s">
        <v>9</v>
      </c>
      <c r="E103" s="2" t="s">
        <v>200</v>
      </c>
      <c r="F103" s="2" t="s">
        <v>53</v>
      </c>
      <c r="G103" s="2" t="s">
        <v>210</v>
      </c>
    </row>
    <row r="104" spans="1:7" x14ac:dyDescent="0.2">
      <c r="A104" s="2" t="s">
        <v>7</v>
      </c>
      <c r="B104" s="2" t="s">
        <v>211</v>
      </c>
      <c r="C104" s="3" t="s">
        <v>199</v>
      </c>
      <c r="D104" s="2" t="s">
        <v>9</v>
      </c>
      <c r="E104" s="2" t="s">
        <v>200</v>
      </c>
      <c r="F104" s="2" t="s">
        <v>55</v>
      </c>
      <c r="G104" s="2" t="s">
        <v>212</v>
      </c>
    </row>
    <row r="105" spans="1:7" x14ac:dyDescent="0.2">
      <c r="A105" s="2" t="s">
        <v>7</v>
      </c>
      <c r="B105" s="2" t="s">
        <v>213</v>
      </c>
      <c r="C105" s="20">
        <v>58.744</v>
      </c>
      <c r="D105" s="2" t="s">
        <v>9</v>
      </c>
      <c r="E105" s="2" t="s">
        <v>182</v>
      </c>
      <c r="F105" s="2" t="s">
        <v>214</v>
      </c>
      <c r="G105" s="2" t="s">
        <v>203</v>
      </c>
    </row>
    <row r="106" spans="1:7" x14ac:dyDescent="0.2">
      <c r="A106" s="2" t="s">
        <v>7</v>
      </c>
      <c r="B106" s="2" t="s">
        <v>215</v>
      </c>
      <c r="C106" s="20">
        <f>SUM(Inputs!$C$143,Inputs!$C$144)</f>
        <v>81.591999999999999</v>
      </c>
      <c r="D106" s="2" t="s">
        <v>9</v>
      </c>
      <c r="E106" s="2" t="s">
        <v>182</v>
      </c>
      <c r="F106" s="2" t="s">
        <v>197</v>
      </c>
      <c r="G106" s="2" t="s">
        <v>203</v>
      </c>
    </row>
    <row r="107" spans="1:7" x14ac:dyDescent="0.2">
      <c r="A107" s="2" t="s">
        <v>7</v>
      </c>
      <c r="B107" s="2" t="s">
        <v>216</v>
      </c>
      <c r="C107" s="20">
        <v>215.93799999999999</v>
      </c>
      <c r="D107" s="2" t="s">
        <v>9</v>
      </c>
      <c r="E107" s="2" t="s">
        <v>10</v>
      </c>
      <c r="F107" s="2" t="s">
        <v>176</v>
      </c>
      <c r="G107" s="2" t="s">
        <v>217</v>
      </c>
    </row>
    <row r="108" spans="1:7" x14ac:dyDescent="0.2">
      <c r="A108" s="2" t="s">
        <v>7</v>
      </c>
      <c r="B108" s="2" t="s">
        <v>218</v>
      </c>
      <c r="C108" s="20">
        <v>130.387</v>
      </c>
      <c r="D108" s="2" t="s">
        <v>9</v>
      </c>
      <c r="E108" s="2" t="s">
        <v>10</v>
      </c>
      <c r="F108" s="2" t="s">
        <v>14</v>
      </c>
      <c r="G108" s="2" t="s">
        <v>217</v>
      </c>
    </row>
    <row r="109" spans="1:7" x14ac:dyDescent="0.2">
      <c r="A109" s="2" t="s">
        <v>7</v>
      </c>
      <c r="B109" s="2" t="s">
        <v>219</v>
      </c>
      <c r="C109" s="20">
        <v>2.4</v>
      </c>
      <c r="D109" s="2" t="s">
        <v>9</v>
      </c>
      <c r="E109" s="2" t="s">
        <v>10</v>
      </c>
      <c r="F109" s="2" t="s">
        <v>67</v>
      </c>
      <c r="G109" s="2" t="s">
        <v>217</v>
      </c>
    </row>
    <row r="110" spans="1:7" x14ac:dyDescent="0.2">
      <c r="A110" s="2" t="s">
        <v>7</v>
      </c>
      <c r="B110" s="2" t="s">
        <v>220</v>
      </c>
      <c r="C110" s="20">
        <v>0.48799999999999999</v>
      </c>
      <c r="D110" s="2" t="s">
        <v>9</v>
      </c>
      <c r="E110" s="2" t="s">
        <v>10</v>
      </c>
      <c r="F110" s="2" t="s">
        <v>69</v>
      </c>
      <c r="G110" s="2" t="s">
        <v>217</v>
      </c>
    </row>
    <row r="111" spans="1:7" x14ac:dyDescent="0.2">
      <c r="A111" s="2" t="s">
        <v>7</v>
      </c>
      <c r="B111" s="2" t="s">
        <v>221</v>
      </c>
      <c r="C111" s="20">
        <v>120.06699999999999</v>
      </c>
      <c r="D111" s="2" t="s">
        <v>9</v>
      </c>
      <c r="E111" s="2" t="s">
        <v>10</v>
      </c>
      <c r="F111" s="2" t="s">
        <v>24</v>
      </c>
      <c r="G111" s="2" t="s">
        <v>217</v>
      </c>
    </row>
    <row r="112" spans="1:7" x14ac:dyDescent="0.2">
      <c r="A112" s="2" t="s">
        <v>7</v>
      </c>
      <c r="B112" s="2" t="s">
        <v>222</v>
      </c>
      <c r="C112" s="20">
        <f>SUM(Inputs!$C$145,Inputs!$C$146)</f>
        <v>8.468</v>
      </c>
      <c r="D112" s="2" t="s">
        <v>9</v>
      </c>
      <c r="E112" s="2" t="s">
        <v>182</v>
      </c>
      <c r="F112" s="2" t="s">
        <v>195</v>
      </c>
      <c r="G112" s="2" t="s">
        <v>217</v>
      </c>
    </row>
    <row r="113" spans="1:7" x14ac:dyDescent="0.2">
      <c r="A113" s="2" t="s">
        <v>7</v>
      </c>
      <c r="B113" s="2" t="s">
        <v>223</v>
      </c>
      <c r="C113" s="20">
        <v>10.605</v>
      </c>
      <c r="D113" s="2" t="s">
        <v>9</v>
      </c>
      <c r="E113" s="2" t="s">
        <v>10</v>
      </c>
      <c r="F113" s="2" t="s">
        <v>47</v>
      </c>
      <c r="G113" s="2" t="s">
        <v>217</v>
      </c>
    </row>
    <row r="114" spans="1:7" x14ac:dyDescent="0.2">
      <c r="A114" s="2" t="s">
        <v>7</v>
      </c>
      <c r="B114" s="2" t="s">
        <v>224</v>
      </c>
      <c r="C114" s="3" t="s">
        <v>199</v>
      </c>
      <c r="D114" s="2" t="s">
        <v>9</v>
      </c>
      <c r="E114" s="2" t="s">
        <v>200</v>
      </c>
      <c r="F114" s="2" t="s">
        <v>225</v>
      </c>
      <c r="G114" s="2" t="s">
        <v>226</v>
      </c>
    </row>
    <row r="115" spans="1:7" x14ac:dyDescent="0.2">
      <c r="A115" s="2" t="s">
        <v>7</v>
      </c>
      <c r="B115" s="2" t="s">
        <v>227</v>
      </c>
      <c r="C115" s="3" t="s">
        <v>199</v>
      </c>
      <c r="D115" s="2" t="s">
        <v>9</v>
      </c>
      <c r="E115" s="2" t="s">
        <v>200</v>
      </c>
      <c r="F115" s="2" t="s">
        <v>55</v>
      </c>
      <c r="G115" s="2" t="s">
        <v>228</v>
      </c>
    </row>
    <row r="116" spans="1:7" x14ac:dyDescent="0.2">
      <c r="A116" s="2" t="s">
        <v>7</v>
      </c>
      <c r="B116" s="2" t="s">
        <v>229</v>
      </c>
      <c r="C116" s="20">
        <f>Inputs!$C$113</f>
        <v>10.605</v>
      </c>
      <c r="D116" s="2" t="s">
        <v>9</v>
      </c>
      <c r="E116" s="2" t="s">
        <v>182</v>
      </c>
      <c r="F116" s="2" t="s">
        <v>230</v>
      </c>
      <c r="G116" s="2" t="s">
        <v>217</v>
      </c>
    </row>
    <row r="117" spans="1:7" x14ac:dyDescent="0.2">
      <c r="A117" s="2" t="s">
        <v>7</v>
      </c>
      <c r="B117" s="2" t="s">
        <v>231</v>
      </c>
      <c r="C117" s="20">
        <v>94.826999999999998</v>
      </c>
      <c r="D117" s="2" t="s">
        <v>9</v>
      </c>
      <c r="E117" s="2" t="s">
        <v>10</v>
      </c>
      <c r="F117" s="2" t="s">
        <v>232</v>
      </c>
      <c r="G117" s="2" t="s">
        <v>233</v>
      </c>
    </row>
    <row r="118" spans="1:7" x14ac:dyDescent="0.2">
      <c r="A118" s="2" t="s">
        <v>7</v>
      </c>
      <c r="B118" s="2" t="s">
        <v>234</v>
      </c>
      <c r="C118" s="20">
        <v>4.3550000000000004</v>
      </c>
      <c r="D118" s="2" t="s">
        <v>9</v>
      </c>
      <c r="E118" s="2" t="s">
        <v>10</v>
      </c>
      <c r="F118" s="2" t="s">
        <v>14</v>
      </c>
      <c r="G118" s="2" t="s">
        <v>235</v>
      </c>
    </row>
    <row r="119" spans="1:7" x14ac:dyDescent="0.2">
      <c r="A119" s="2" t="s">
        <v>7</v>
      </c>
      <c r="B119" s="2" t="s">
        <v>236</v>
      </c>
      <c r="C119" s="20">
        <v>5.03</v>
      </c>
      <c r="D119" s="2" t="s">
        <v>9</v>
      </c>
      <c r="E119" s="2" t="s">
        <v>10</v>
      </c>
      <c r="F119" s="2" t="s">
        <v>67</v>
      </c>
      <c r="G119" s="2" t="s">
        <v>235</v>
      </c>
    </row>
    <row r="120" spans="1:7" x14ac:dyDescent="0.2">
      <c r="A120" s="2" t="s">
        <v>7</v>
      </c>
      <c r="B120" s="2" t="s">
        <v>237</v>
      </c>
      <c r="C120" s="20">
        <v>3.794</v>
      </c>
      <c r="D120" s="2" t="s">
        <v>9</v>
      </c>
      <c r="E120" s="2" t="s">
        <v>10</v>
      </c>
      <c r="F120" s="2" t="s">
        <v>24</v>
      </c>
      <c r="G120" s="2" t="s">
        <v>235</v>
      </c>
    </row>
    <row r="121" spans="1:7" x14ac:dyDescent="0.2">
      <c r="A121" s="2" t="s">
        <v>7</v>
      </c>
      <c r="B121" s="2" t="s">
        <v>238</v>
      </c>
      <c r="C121" s="20">
        <f>SUM(Inputs!$C$149,Inputs!$C$150)</f>
        <v>8.1529999999999987</v>
      </c>
      <c r="D121" s="2" t="s">
        <v>9</v>
      </c>
      <c r="E121" s="2" t="s">
        <v>182</v>
      </c>
      <c r="F121" s="2" t="s">
        <v>239</v>
      </c>
      <c r="G121" s="2" t="s">
        <v>235</v>
      </c>
    </row>
    <row r="122" spans="1:7" x14ac:dyDescent="0.2">
      <c r="A122" s="2" t="s">
        <v>7</v>
      </c>
      <c r="B122" s="2" t="s">
        <v>240</v>
      </c>
      <c r="C122" s="20">
        <f>SUM(Inputs!$C$147,Inputs!$C$148)</f>
        <v>44.058999999999997</v>
      </c>
      <c r="D122" s="2" t="s">
        <v>9</v>
      </c>
      <c r="E122" s="2" t="s">
        <v>182</v>
      </c>
      <c r="F122" s="2" t="s">
        <v>241</v>
      </c>
      <c r="G122" s="2" t="s">
        <v>235</v>
      </c>
    </row>
    <row r="123" spans="1:7" x14ac:dyDescent="0.2">
      <c r="A123" s="2" t="s">
        <v>7</v>
      </c>
      <c r="B123" s="2" t="s">
        <v>242</v>
      </c>
      <c r="C123" s="3" t="s">
        <v>199</v>
      </c>
      <c r="D123" s="2" t="s">
        <v>9</v>
      </c>
      <c r="E123" s="2" t="s">
        <v>200</v>
      </c>
      <c r="F123" s="2" t="s">
        <v>55</v>
      </c>
      <c r="G123" s="2" t="s">
        <v>243</v>
      </c>
    </row>
    <row r="124" spans="1:7" x14ac:dyDescent="0.2">
      <c r="A124" s="2" t="s">
        <v>77</v>
      </c>
      <c r="B124" s="2" t="s">
        <v>244</v>
      </c>
      <c r="C124" s="20">
        <v>348.29</v>
      </c>
      <c r="D124" s="2" t="s">
        <v>79</v>
      </c>
      <c r="E124" s="2" t="s">
        <v>80</v>
      </c>
      <c r="F124" s="2" t="s">
        <v>245</v>
      </c>
      <c r="G124" s="2" t="s">
        <v>246</v>
      </c>
    </row>
    <row r="125" spans="1:7" x14ac:dyDescent="0.2">
      <c r="A125" s="2" t="s">
        <v>77</v>
      </c>
      <c r="B125" s="2" t="s">
        <v>247</v>
      </c>
      <c r="C125" s="20">
        <v>4260</v>
      </c>
      <c r="D125" s="2" t="s">
        <v>9</v>
      </c>
      <c r="E125" s="2" t="s">
        <v>80</v>
      </c>
      <c r="F125" s="2" t="s">
        <v>248</v>
      </c>
      <c r="G125" s="2" t="s">
        <v>246</v>
      </c>
    </row>
    <row r="126" spans="1:7" x14ac:dyDescent="0.2">
      <c r="A126" s="2" t="s">
        <v>77</v>
      </c>
      <c r="B126" s="2" t="s">
        <v>249</v>
      </c>
      <c r="C126" s="20">
        <v>254.06</v>
      </c>
      <c r="D126" s="2" t="s">
        <v>79</v>
      </c>
      <c r="E126" s="2" t="s">
        <v>80</v>
      </c>
      <c r="F126" s="2" t="s">
        <v>245</v>
      </c>
      <c r="G126" s="2" t="s">
        <v>246</v>
      </c>
    </row>
    <row r="127" spans="1:7" x14ac:dyDescent="0.2">
      <c r="A127" s="2" t="s">
        <v>77</v>
      </c>
      <c r="B127" s="2" t="s">
        <v>250</v>
      </c>
      <c r="C127" s="20">
        <v>2740</v>
      </c>
      <c r="D127" s="2" t="s">
        <v>9</v>
      </c>
      <c r="E127" s="2" t="s">
        <v>80</v>
      </c>
      <c r="F127" s="2" t="s">
        <v>248</v>
      </c>
      <c r="G127" s="2" t="s">
        <v>246</v>
      </c>
    </row>
    <row r="128" spans="1:7" x14ac:dyDescent="0.2">
      <c r="A128" s="2" t="s">
        <v>77</v>
      </c>
      <c r="B128" s="2" t="s">
        <v>251</v>
      </c>
      <c r="C128" s="20">
        <v>720.89</v>
      </c>
      <c r="D128" s="2" t="s">
        <v>79</v>
      </c>
      <c r="E128" s="2" t="s">
        <v>80</v>
      </c>
      <c r="F128" s="2" t="s">
        <v>245</v>
      </c>
      <c r="G128" s="2" t="s">
        <v>246</v>
      </c>
    </row>
    <row r="129" spans="1:7" x14ac:dyDescent="0.2">
      <c r="A129" s="2" t="s">
        <v>77</v>
      </c>
      <c r="B129" s="2" t="s">
        <v>252</v>
      </c>
      <c r="C129" s="20">
        <v>1840</v>
      </c>
      <c r="D129" s="2" t="s">
        <v>9</v>
      </c>
      <c r="E129" s="2" t="s">
        <v>80</v>
      </c>
      <c r="F129" s="2" t="s">
        <v>248</v>
      </c>
      <c r="G129" s="2" t="s">
        <v>246</v>
      </c>
    </row>
    <row r="130" spans="1:7" x14ac:dyDescent="0.2">
      <c r="A130" s="2" t="s">
        <v>77</v>
      </c>
      <c r="B130" s="2" t="s">
        <v>253</v>
      </c>
      <c r="C130" s="20">
        <v>230.48</v>
      </c>
      <c r="D130" s="2" t="s">
        <v>79</v>
      </c>
      <c r="E130" s="2" t="s">
        <v>80</v>
      </c>
      <c r="F130" s="2" t="s">
        <v>254</v>
      </c>
      <c r="G130" s="2" t="s">
        <v>246</v>
      </c>
    </row>
    <row r="131" spans="1:7" x14ac:dyDescent="0.2">
      <c r="A131" s="2" t="s">
        <v>77</v>
      </c>
      <c r="B131" s="2" t="s">
        <v>255</v>
      </c>
      <c r="C131" s="20">
        <v>5730</v>
      </c>
      <c r="D131" s="2" t="s">
        <v>9</v>
      </c>
      <c r="E131" s="2" t="s">
        <v>80</v>
      </c>
      <c r="F131" s="2" t="s">
        <v>256</v>
      </c>
      <c r="G131" s="2" t="s">
        <v>246</v>
      </c>
    </row>
    <row r="132" spans="1:7" x14ac:dyDescent="0.2">
      <c r="A132" s="2" t="s">
        <v>77</v>
      </c>
      <c r="B132" s="2" t="s">
        <v>257</v>
      </c>
      <c r="C132" s="20">
        <v>375</v>
      </c>
      <c r="D132" s="2" t="s">
        <v>79</v>
      </c>
      <c r="E132" s="2" t="s">
        <v>80</v>
      </c>
      <c r="F132" s="2" t="s">
        <v>245</v>
      </c>
      <c r="G132" s="2" t="s">
        <v>246</v>
      </c>
    </row>
    <row r="133" spans="1:7" x14ac:dyDescent="0.2">
      <c r="A133" s="2" t="s">
        <v>77</v>
      </c>
      <c r="B133" s="2" t="s">
        <v>258</v>
      </c>
      <c r="C133" s="20">
        <v>1490</v>
      </c>
      <c r="D133" s="2" t="s">
        <v>9</v>
      </c>
      <c r="E133" s="2" t="s">
        <v>80</v>
      </c>
      <c r="F133" s="2" t="s">
        <v>248</v>
      </c>
      <c r="G133" s="2" t="s">
        <v>246</v>
      </c>
    </row>
    <row r="134" spans="1:7" x14ac:dyDescent="0.2">
      <c r="A134" s="2" t="s">
        <v>7</v>
      </c>
      <c r="B134" s="2" t="s">
        <v>259</v>
      </c>
      <c r="C134" s="3" t="s">
        <v>199</v>
      </c>
      <c r="D134" s="2" t="s">
        <v>9</v>
      </c>
      <c r="E134" s="2" t="s">
        <v>200</v>
      </c>
      <c r="F134" s="2" t="s">
        <v>55</v>
      </c>
      <c r="G134" s="2" t="s">
        <v>260</v>
      </c>
    </row>
    <row r="135" spans="1:7" x14ac:dyDescent="0.2">
      <c r="A135" s="2" t="s">
        <v>7</v>
      </c>
      <c r="B135" s="2" t="s">
        <v>261</v>
      </c>
      <c r="C135" s="20">
        <v>126.843</v>
      </c>
      <c r="D135" s="2" t="s">
        <v>9</v>
      </c>
      <c r="E135" s="2" t="s">
        <v>10</v>
      </c>
      <c r="F135" s="2" t="s">
        <v>262</v>
      </c>
      <c r="G135" s="2" t="s">
        <v>177</v>
      </c>
    </row>
    <row r="136" spans="1:7" x14ac:dyDescent="0.2">
      <c r="A136" s="2" t="s">
        <v>7</v>
      </c>
      <c r="B136" s="2" t="s">
        <v>263</v>
      </c>
      <c r="C136" s="20">
        <v>68.686999999999998</v>
      </c>
      <c r="D136" s="2" t="s">
        <v>9</v>
      </c>
      <c r="E136" s="2" t="s">
        <v>10</v>
      </c>
      <c r="F136" s="2" t="s">
        <v>264</v>
      </c>
      <c r="G136" s="2" t="s">
        <v>177</v>
      </c>
    </row>
    <row r="137" spans="1:7" x14ac:dyDescent="0.2">
      <c r="A137" s="2" t="s">
        <v>7</v>
      </c>
      <c r="B137" s="2" t="s">
        <v>265</v>
      </c>
      <c r="C137" s="20">
        <v>1.996</v>
      </c>
      <c r="D137" s="2" t="s">
        <v>9</v>
      </c>
      <c r="E137" s="2" t="s">
        <v>10</v>
      </c>
      <c r="F137" s="2" t="s">
        <v>53</v>
      </c>
      <c r="G137" s="2" t="s">
        <v>177</v>
      </c>
    </row>
    <row r="138" spans="1:7" x14ac:dyDescent="0.2">
      <c r="A138" s="2" t="s">
        <v>7</v>
      </c>
      <c r="B138" s="2" t="s">
        <v>266</v>
      </c>
      <c r="C138" s="20">
        <v>46.546999999999997</v>
      </c>
      <c r="D138" s="2" t="s">
        <v>9</v>
      </c>
      <c r="E138" s="2" t="s">
        <v>10</v>
      </c>
      <c r="F138" s="2" t="s">
        <v>57</v>
      </c>
      <c r="G138" s="2" t="s">
        <v>177</v>
      </c>
    </row>
    <row r="139" spans="1:7" x14ac:dyDescent="0.2">
      <c r="A139" s="2" t="s">
        <v>7</v>
      </c>
      <c r="B139" s="2" t="s">
        <v>267</v>
      </c>
      <c r="C139" s="20">
        <v>86.81</v>
      </c>
      <c r="D139" s="2" t="s">
        <v>9</v>
      </c>
      <c r="E139" s="2" t="s">
        <v>10</v>
      </c>
      <c r="F139" s="2" t="s">
        <v>47</v>
      </c>
      <c r="G139" s="2" t="s">
        <v>189</v>
      </c>
    </row>
    <row r="140" spans="1:7" x14ac:dyDescent="0.2">
      <c r="A140" s="2" t="s">
        <v>7</v>
      </c>
      <c r="B140" s="2" t="s">
        <v>268</v>
      </c>
      <c r="C140" s="20">
        <v>36.219000000000001</v>
      </c>
      <c r="D140" s="2" t="s">
        <v>9</v>
      </c>
      <c r="E140" s="2" t="s">
        <v>10</v>
      </c>
      <c r="F140" s="2" t="s">
        <v>49</v>
      </c>
      <c r="G140" s="2" t="s">
        <v>189</v>
      </c>
    </row>
    <row r="141" spans="1:7" x14ac:dyDescent="0.2">
      <c r="A141" s="2" t="s">
        <v>7</v>
      </c>
      <c r="B141" s="2" t="s">
        <v>269</v>
      </c>
      <c r="C141" s="20">
        <v>2.7480000000000002</v>
      </c>
      <c r="D141" s="2" t="s">
        <v>9</v>
      </c>
      <c r="E141" s="2" t="s">
        <v>10</v>
      </c>
      <c r="F141" s="2" t="s">
        <v>53</v>
      </c>
      <c r="G141" s="2" t="s">
        <v>189</v>
      </c>
    </row>
    <row r="142" spans="1:7" x14ac:dyDescent="0.2">
      <c r="A142" s="2" t="s">
        <v>7</v>
      </c>
      <c r="B142" s="2" t="s">
        <v>270</v>
      </c>
      <c r="C142" s="20">
        <v>65.647999999999996</v>
      </c>
      <c r="D142" s="2" t="s">
        <v>9</v>
      </c>
      <c r="E142" s="2" t="s">
        <v>10</v>
      </c>
      <c r="F142" s="2" t="s">
        <v>57</v>
      </c>
      <c r="G142" s="2" t="s">
        <v>189</v>
      </c>
    </row>
    <row r="143" spans="1:7" x14ac:dyDescent="0.2">
      <c r="A143" s="2" t="s">
        <v>7</v>
      </c>
      <c r="B143" s="2" t="s">
        <v>271</v>
      </c>
      <c r="C143" s="20">
        <v>35.872999999999998</v>
      </c>
      <c r="D143" s="2" t="s">
        <v>9</v>
      </c>
      <c r="E143" s="2" t="s">
        <v>10</v>
      </c>
      <c r="F143" s="2" t="s">
        <v>47</v>
      </c>
      <c r="G143" s="2" t="s">
        <v>203</v>
      </c>
    </row>
    <row r="144" spans="1:7" x14ac:dyDescent="0.2">
      <c r="A144" s="2" t="s">
        <v>7</v>
      </c>
      <c r="B144" s="2" t="s">
        <v>272</v>
      </c>
      <c r="C144" s="20">
        <v>45.719000000000001</v>
      </c>
      <c r="D144" s="2" t="s">
        <v>9</v>
      </c>
      <c r="E144" s="2" t="s">
        <v>10</v>
      </c>
      <c r="F144" s="2" t="s">
        <v>49</v>
      </c>
      <c r="G144" s="2" t="s">
        <v>203</v>
      </c>
    </row>
    <row r="145" spans="1:7" x14ac:dyDescent="0.2">
      <c r="A145" s="2" t="s">
        <v>7</v>
      </c>
      <c r="B145" s="2" t="s">
        <v>273</v>
      </c>
      <c r="C145" s="20">
        <v>0.999</v>
      </c>
      <c r="D145" s="2" t="s">
        <v>9</v>
      </c>
      <c r="E145" s="2" t="s">
        <v>10</v>
      </c>
      <c r="F145" s="2" t="s">
        <v>274</v>
      </c>
      <c r="G145" s="2" t="s">
        <v>217</v>
      </c>
    </row>
    <row r="146" spans="1:7" x14ac:dyDescent="0.2">
      <c r="A146" s="2" t="s">
        <v>7</v>
      </c>
      <c r="B146" s="2" t="s">
        <v>275</v>
      </c>
      <c r="C146" s="20">
        <v>7.4690000000000003</v>
      </c>
      <c r="D146" s="2" t="s">
        <v>9</v>
      </c>
      <c r="E146" s="2" t="s">
        <v>10</v>
      </c>
      <c r="F146" s="2" t="s">
        <v>57</v>
      </c>
      <c r="G146" s="2" t="s">
        <v>217</v>
      </c>
    </row>
    <row r="147" spans="1:7" x14ac:dyDescent="0.2">
      <c r="A147" s="2" t="s">
        <v>7</v>
      </c>
      <c r="B147" s="2" t="s">
        <v>276</v>
      </c>
      <c r="C147" s="20">
        <v>16.513000000000002</v>
      </c>
      <c r="D147" s="2" t="s">
        <v>9</v>
      </c>
      <c r="E147" s="2" t="s">
        <v>10</v>
      </c>
      <c r="F147" s="2" t="s">
        <v>47</v>
      </c>
      <c r="G147" s="2" t="s">
        <v>235</v>
      </c>
    </row>
    <row r="148" spans="1:7" x14ac:dyDescent="0.2">
      <c r="A148" s="2" t="s">
        <v>7</v>
      </c>
      <c r="B148" s="2" t="s">
        <v>277</v>
      </c>
      <c r="C148" s="20">
        <v>27.545999999999999</v>
      </c>
      <c r="D148" s="2" t="s">
        <v>9</v>
      </c>
      <c r="E148" s="2" t="s">
        <v>10</v>
      </c>
      <c r="F148" s="2" t="s">
        <v>72</v>
      </c>
      <c r="G148" s="2" t="s">
        <v>235</v>
      </c>
    </row>
    <row r="149" spans="1:7" x14ac:dyDescent="0.2">
      <c r="A149" s="2" t="s">
        <v>7</v>
      </c>
      <c r="B149" s="2" t="s">
        <v>278</v>
      </c>
      <c r="C149" s="20">
        <v>1.569</v>
      </c>
      <c r="D149" s="2" t="s">
        <v>9</v>
      </c>
      <c r="E149" s="2" t="s">
        <v>10</v>
      </c>
      <c r="F149" s="2" t="s">
        <v>274</v>
      </c>
      <c r="G149" s="2" t="s">
        <v>235</v>
      </c>
    </row>
    <row r="150" spans="1:7" x14ac:dyDescent="0.2">
      <c r="A150" s="2" t="s">
        <v>7</v>
      </c>
      <c r="B150" s="2" t="s">
        <v>279</v>
      </c>
      <c r="C150" s="20">
        <v>6.5839999999999996</v>
      </c>
      <c r="D150" s="2" t="s">
        <v>9</v>
      </c>
      <c r="E150" s="2" t="s">
        <v>10</v>
      </c>
      <c r="F150" s="2" t="s">
        <v>76</v>
      </c>
      <c r="G150" s="2" t="s">
        <v>235</v>
      </c>
    </row>
    <row r="151" spans="1:7" x14ac:dyDescent="0.2">
      <c r="A151" s="2" t="s">
        <v>7</v>
      </c>
      <c r="B151" s="2" t="s">
        <v>280</v>
      </c>
      <c r="C151" s="20">
        <v>24.513999999999999</v>
      </c>
      <c r="D151" s="2" t="s">
        <v>26</v>
      </c>
      <c r="E151" s="2" t="s">
        <v>281</v>
      </c>
      <c r="F151" s="2" t="s">
        <v>27</v>
      </c>
      <c r="G151" s="2" t="s">
        <v>217</v>
      </c>
    </row>
  </sheetData>
  <autoFilter ref="A1:G8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6" width="25" customWidth="1"/>
  </cols>
  <sheetData>
    <row r="1" spans="1:6" ht="19" x14ac:dyDescent="0.2">
      <c r="A1" s="1" t="s">
        <v>282</v>
      </c>
      <c r="B1" s="1"/>
      <c r="C1" s="1"/>
      <c r="D1" s="1"/>
      <c r="E1" s="1"/>
      <c r="F1" s="1"/>
    </row>
    <row r="2" spans="1:6" x14ac:dyDescent="0.2">
      <c r="A2" s="2" t="s">
        <v>283</v>
      </c>
      <c r="B2" s="2" t="s">
        <v>2</v>
      </c>
      <c r="C2" s="2"/>
      <c r="D2" s="2"/>
      <c r="E2" s="2"/>
      <c r="F2" s="2"/>
    </row>
    <row r="3" spans="1:6" x14ac:dyDescent="0.2">
      <c r="A3" s="4" t="s">
        <v>284</v>
      </c>
      <c r="B3" s="11">
        <f>Inputs!$C$47+Inputs!$C$48*Inputs!$C$49</f>
        <v>0.1062</v>
      </c>
      <c r="C3" s="4"/>
      <c r="D3" s="4"/>
      <c r="E3" s="4"/>
      <c r="F3" s="4"/>
    </row>
    <row r="4" spans="1:6" x14ac:dyDescent="0.2">
      <c r="A4" s="4" t="s">
        <v>285</v>
      </c>
      <c r="B4" s="11">
        <f>Inputs!$C$47+Inputs!$C$50</f>
        <v>6.0199999999999997E-2</v>
      </c>
      <c r="C4" s="4"/>
      <c r="D4" s="4"/>
      <c r="E4" s="4"/>
      <c r="F4" s="4"/>
    </row>
    <row r="5" spans="1:6" x14ac:dyDescent="0.2">
      <c r="A5" s="4" t="s">
        <v>286</v>
      </c>
      <c r="B5" s="11">
        <f>B4*(1-Inputs!$C$51)</f>
        <v>5.1070917854349501E-2</v>
      </c>
      <c r="C5" s="4"/>
      <c r="D5" s="4"/>
      <c r="E5" s="4"/>
      <c r="F5" s="4"/>
    </row>
    <row r="6" spans="1:6" x14ac:dyDescent="0.2">
      <c r="A6" s="4" t="s">
        <v>287</v>
      </c>
      <c r="B6" s="12">
        <f>Inputs!$C$44</f>
        <v>4858</v>
      </c>
      <c r="C6" s="4"/>
      <c r="D6" s="4"/>
      <c r="E6" s="4"/>
      <c r="F6" s="4"/>
    </row>
    <row r="7" spans="1:6" x14ac:dyDescent="0.2">
      <c r="A7" s="4" t="s">
        <v>288</v>
      </c>
      <c r="B7" s="12">
        <f>Inputs!$C$29+Inputs!$C$30+Inputs!$C$31</f>
        <v>98.657000000000011</v>
      </c>
      <c r="C7" s="4"/>
      <c r="D7" s="4"/>
      <c r="E7" s="4"/>
      <c r="F7" s="4"/>
    </row>
    <row r="8" spans="1:6" x14ac:dyDescent="0.2">
      <c r="A8" s="4" t="s">
        <v>289</v>
      </c>
      <c r="B8" s="11">
        <f>B6/(B6+B7)</f>
        <v>0.98009606071188704</v>
      </c>
      <c r="C8" s="4"/>
      <c r="D8" s="4"/>
      <c r="E8" s="4"/>
      <c r="F8" s="4"/>
    </row>
    <row r="9" spans="1:6" x14ac:dyDescent="0.2">
      <c r="A9" s="4" t="s">
        <v>290</v>
      </c>
      <c r="B9" s="11">
        <f>B7/(B6+B7)</f>
        <v>1.9903939288112939E-2</v>
      </c>
      <c r="C9" s="4"/>
      <c r="D9" s="4"/>
      <c r="E9" s="4"/>
      <c r="F9" s="4"/>
    </row>
    <row r="10" spans="1:6" x14ac:dyDescent="0.2">
      <c r="A10" s="4" t="s">
        <v>291</v>
      </c>
      <c r="B10" s="11">
        <f>B3*B8+B5*B9</f>
        <v>0.10510271409596358</v>
      </c>
      <c r="C10" s="4"/>
      <c r="D10" s="4"/>
      <c r="E10" s="4"/>
      <c r="F10" s="4"/>
    </row>
    <row r="11" spans="1:6" x14ac:dyDescent="0.2">
      <c r="A11" s="4" t="s">
        <v>292</v>
      </c>
      <c r="B11" s="4" t="s">
        <v>293</v>
      </c>
      <c r="C11" s="4" t="s">
        <v>294</v>
      </c>
      <c r="D11" s="4" t="s">
        <v>295</v>
      </c>
      <c r="E11" s="4" t="s">
        <v>296</v>
      </c>
      <c r="F11" s="4" t="s">
        <v>297</v>
      </c>
    </row>
    <row r="12" spans="1:6" x14ac:dyDescent="0.2">
      <c r="A12" s="4" t="s">
        <v>298</v>
      </c>
      <c r="B12" s="4">
        <v>2026</v>
      </c>
      <c r="C12" s="4">
        <v>2027</v>
      </c>
      <c r="D12" s="4">
        <v>2028</v>
      </c>
      <c r="E12" s="4">
        <v>2029</v>
      </c>
      <c r="F12" s="4">
        <v>2030</v>
      </c>
    </row>
    <row r="13" spans="1:6" x14ac:dyDescent="0.2">
      <c r="A13" s="4" t="s">
        <v>299</v>
      </c>
      <c r="B13" s="12">
        <f>Inputs!$C$57</f>
        <v>4.4999999999999998E-2</v>
      </c>
      <c r="C13" s="12">
        <f>Inputs!$C$58</f>
        <v>0.04</v>
      </c>
      <c r="D13" s="12">
        <f>Inputs!$C$59</f>
        <v>3.5000000000000003E-2</v>
      </c>
      <c r="E13" s="12">
        <f>Inputs!$C$60</f>
        <v>0.03</v>
      </c>
      <c r="F13" s="12">
        <f>Inputs!$C$61</f>
        <v>2.5000000000000001E-2</v>
      </c>
    </row>
    <row r="14" spans="1:6" x14ac:dyDescent="0.2">
      <c r="A14" s="4" t="s">
        <v>300</v>
      </c>
      <c r="B14" s="12">
        <f>Inputs!$C$18*(1+B13)</f>
        <v>434.88824499999998</v>
      </c>
      <c r="C14" s="12">
        <f>B14*(1+C13)</f>
        <v>452.2837748</v>
      </c>
      <c r="D14" s="12">
        <f>C14*(1+D13)</f>
        <v>468.11370691799999</v>
      </c>
      <c r="E14" s="12">
        <f>D14*(1+E13)</f>
        <v>482.15711812554002</v>
      </c>
      <c r="F14" s="12">
        <f>E14*(1+F13)</f>
        <v>494.21104607867846</v>
      </c>
    </row>
    <row r="15" spans="1:6" x14ac:dyDescent="0.2">
      <c r="A15" s="4" t="s">
        <v>301</v>
      </c>
      <c r="B15" s="12">
        <f>B14*Inputs!$C$53</f>
        <v>136.98979717500001</v>
      </c>
      <c r="C15" s="12">
        <f>C14*Inputs!$C$53</f>
        <v>142.469389062</v>
      </c>
      <c r="D15" s="12">
        <f>D14*Inputs!$C$53</f>
        <v>147.45581767917</v>
      </c>
      <c r="E15" s="12">
        <f>E14*Inputs!$C$53</f>
        <v>151.87949220954511</v>
      </c>
      <c r="F15" s="12">
        <f>F14*Inputs!$C$53</f>
        <v>155.67647951478372</v>
      </c>
    </row>
    <row r="16" spans="1:6" x14ac:dyDescent="0.2">
      <c r="A16" s="4" t="s">
        <v>302</v>
      </c>
      <c r="B16" s="12">
        <f>Inputs!$C$51</f>
        <v>0.1516458828181145</v>
      </c>
      <c r="C16" s="12">
        <f>Inputs!$C$51</f>
        <v>0.1516458828181145</v>
      </c>
      <c r="D16" s="12">
        <f>Inputs!$C$51</f>
        <v>0.1516458828181145</v>
      </c>
      <c r="E16" s="12">
        <f>Inputs!$C$51</f>
        <v>0.1516458828181145</v>
      </c>
      <c r="F16" s="12">
        <f>Inputs!$C$51</f>
        <v>0.1516458828181145</v>
      </c>
    </row>
    <row r="17" spans="1:6" x14ac:dyDescent="0.2">
      <c r="A17" s="4" t="s">
        <v>303</v>
      </c>
      <c r="B17" s="12">
        <f>B15*(1-B16)</f>
        <v>116.21585844532268</v>
      </c>
      <c r="C17" s="12">
        <f>C15*(1-C16)</f>
        <v>120.86449278313559</v>
      </c>
      <c r="D17" s="12">
        <f>D15*(1-D16)</f>
        <v>125.09475003054533</v>
      </c>
      <c r="E17" s="12">
        <f>E15*(1-E16)</f>
        <v>128.84759253146169</v>
      </c>
      <c r="F17" s="12">
        <f>F15*(1-F16)</f>
        <v>132.06878234474823</v>
      </c>
    </row>
    <row r="18" spans="1:6" x14ac:dyDescent="0.2">
      <c r="A18" s="4" t="s">
        <v>304</v>
      </c>
      <c r="B18" s="12">
        <f>B14*Inputs!$C$54</f>
        <v>12.611759105000001</v>
      </c>
      <c r="C18" s="12">
        <f>C14*Inputs!$C$54</f>
        <v>13.1162294692</v>
      </c>
      <c r="D18" s="12">
        <f>D14*Inputs!$C$54</f>
        <v>13.575297500622</v>
      </c>
      <c r="E18" s="12">
        <f>E14*Inputs!$C$54</f>
        <v>13.982556425640661</v>
      </c>
      <c r="F18" s="12">
        <f>F14*Inputs!$C$54</f>
        <v>14.332120336281676</v>
      </c>
    </row>
    <row r="19" spans="1:6" x14ac:dyDescent="0.2">
      <c r="A19" s="4" t="s">
        <v>305</v>
      </c>
      <c r="B19" s="12">
        <f>B14*Inputs!$C$55</f>
        <v>12.176870859999999</v>
      </c>
      <c r="C19" s="12">
        <f>C14*Inputs!$C$55</f>
        <v>12.663945694400001</v>
      </c>
      <c r="D19" s="12">
        <f>D14*Inputs!$C$55</f>
        <v>13.107183793703999</v>
      </c>
      <c r="E19" s="12">
        <f>E14*Inputs!$C$55</f>
        <v>13.500399307515121</v>
      </c>
      <c r="F19" s="12">
        <f>F14*Inputs!$C$55</f>
        <v>13.837909290202997</v>
      </c>
    </row>
    <row r="20" spans="1:6" x14ac:dyDescent="0.2">
      <c r="A20" s="4" t="s">
        <v>306</v>
      </c>
      <c r="B20" s="12">
        <f>B14*Inputs!$C$56</f>
        <v>-54.383890000000015</v>
      </c>
      <c r="C20" s="12">
        <f>C14*Inputs!$C$56</f>
        <v>-56.559245600000018</v>
      </c>
      <c r="D20" s="12">
        <f>D14*Inputs!$C$56</f>
        <v>-58.538819196000013</v>
      </c>
      <c r="E20" s="12">
        <f>E14*Inputs!$C$56</f>
        <v>-60.29498377188002</v>
      </c>
      <c r="F20" s="12">
        <f>F14*Inputs!$C$56</f>
        <v>-61.80235836617701</v>
      </c>
    </row>
    <row r="21" spans="1:6" x14ac:dyDescent="0.2">
      <c r="A21" s="4" t="s">
        <v>307</v>
      </c>
      <c r="B21" s="12">
        <f>B20-Inputs!$C$72</f>
        <v>-2.3418900000000136</v>
      </c>
      <c r="C21" s="12">
        <f>C20-B20</f>
        <v>-2.1753556000000032</v>
      </c>
      <c r="D21" s="12">
        <f>D20-C20</f>
        <v>-1.9795735959999945</v>
      </c>
      <c r="E21" s="12">
        <f>E20-D20</f>
        <v>-1.7561645758800069</v>
      </c>
      <c r="F21" s="12">
        <f>F20-E20</f>
        <v>-1.5073745942969907</v>
      </c>
    </row>
    <row r="22" spans="1:6" x14ac:dyDescent="0.2">
      <c r="A22" s="4" t="s">
        <v>308</v>
      </c>
      <c r="B22" s="12">
        <f>B17+B18-B19-B21</f>
        <v>118.99263669032271</v>
      </c>
      <c r="C22" s="12">
        <f>C17+C18-C19-C21</f>
        <v>123.4921321579356</v>
      </c>
      <c r="D22" s="12">
        <f>D17+D18-D19-D21</f>
        <v>127.54243733346331</v>
      </c>
      <c r="E22" s="12">
        <f>E17+E18-E19-E21</f>
        <v>131.08591422546723</v>
      </c>
      <c r="F22" s="12">
        <f>F17+F18-F19-F21</f>
        <v>134.07036798512388</v>
      </c>
    </row>
    <row r="23" spans="1:6" x14ac:dyDescent="0.2">
      <c r="A23" s="4" t="s">
        <v>309</v>
      </c>
      <c r="B23" s="12">
        <f>B22/(1+$B$10)^1</f>
        <v>107.67563518986144</v>
      </c>
      <c r="C23" s="12">
        <f>C22/(1+$B$10)^2</f>
        <v>101.11928682857328</v>
      </c>
      <c r="D23" s="12">
        <f>D22/(1+$B$10)^3</f>
        <v>94.50325679090939</v>
      </c>
      <c r="E23" s="12">
        <f>E22/(1+$B$10)^4</f>
        <v>87.891210351256419</v>
      </c>
      <c r="F23" s="12">
        <f>F22/(1+$B$10)^5</f>
        <v>81.342885420167391</v>
      </c>
    </row>
    <row r="24" spans="1:6" x14ac:dyDescent="0.2">
      <c r="A24" s="4" t="s">
        <v>310</v>
      </c>
      <c r="B24" s="12">
        <f>SUM(B23:F23)</f>
        <v>472.53227458076788</v>
      </c>
      <c r="C24" s="4"/>
      <c r="D24" s="4"/>
      <c r="E24" s="4"/>
      <c r="F24" s="4"/>
    </row>
    <row r="25" spans="1:6" x14ac:dyDescent="0.2">
      <c r="A25" s="4" t="s">
        <v>311</v>
      </c>
      <c r="B25" s="11">
        <f>Inputs!$C$52</f>
        <v>2.5000000000000001E-2</v>
      </c>
      <c r="C25" s="4"/>
      <c r="D25" s="4"/>
      <c r="E25" s="4"/>
      <c r="F25" s="4"/>
    </row>
    <row r="26" spans="1:6" x14ac:dyDescent="0.2">
      <c r="A26" s="4" t="s">
        <v>312</v>
      </c>
      <c r="B26" s="12">
        <f>F22*(1+$B$25)/($B$10-$B$25)</f>
        <v>1715.5739195068886</v>
      </c>
      <c r="C26" s="4"/>
      <c r="D26" s="4"/>
      <c r="E26" s="4"/>
      <c r="F26" s="4"/>
    </row>
    <row r="27" spans="1:6" x14ac:dyDescent="0.2">
      <c r="A27" s="4" t="s">
        <v>313</v>
      </c>
      <c r="B27" s="12">
        <f>B26/(1+$B$10)^5</f>
        <v>1040.8693200555726</v>
      </c>
      <c r="C27" s="4"/>
      <c r="D27" s="4"/>
      <c r="E27" s="4"/>
      <c r="F27" s="4"/>
    </row>
    <row r="28" spans="1:6" x14ac:dyDescent="0.2">
      <c r="A28" s="4" t="s">
        <v>314</v>
      </c>
      <c r="B28" s="12">
        <f>B24+B27</f>
        <v>1513.4015946363406</v>
      </c>
      <c r="C28" s="4"/>
      <c r="D28" s="4"/>
      <c r="E28" s="4"/>
      <c r="F28" s="4"/>
    </row>
    <row r="29" spans="1:6" x14ac:dyDescent="0.2">
      <c r="A29" s="4" t="s">
        <v>315</v>
      </c>
      <c r="B29" s="12">
        <f>Inputs!$C$26+Inputs!$C$27+Inputs!$C$28</f>
        <v>132.42000000000002</v>
      </c>
      <c r="C29" s="4"/>
      <c r="D29" s="4"/>
      <c r="E29" s="4"/>
      <c r="F29" s="4"/>
    </row>
    <row r="30" spans="1:6" x14ac:dyDescent="0.2">
      <c r="A30" s="4" t="s">
        <v>288</v>
      </c>
      <c r="B30" s="12">
        <f>B7</f>
        <v>98.657000000000011</v>
      </c>
      <c r="C30" s="4"/>
      <c r="D30" s="4"/>
      <c r="E30" s="4"/>
      <c r="F30" s="4"/>
    </row>
    <row r="31" spans="1:6" x14ac:dyDescent="0.2">
      <c r="A31" s="4" t="s">
        <v>316</v>
      </c>
      <c r="B31" s="12">
        <f>B28+B29-B30</f>
        <v>1547.1645946363408</v>
      </c>
      <c r="C31" s="4"/>
      <c r="D31" s="4"/>
      <c r="E31" s="4"/>
      <c r="F31" s="4"/>
    </row>
    <row r="32" spans="1:6" x14ac:dyDescent="0.2">
      <c r="A32" s="4" t="s">
        <v>317</v>
      </c>
      <c r="B32" s="12">
        <f>Inputs!$C$25</f>
        <v>15.004697</v>
      </c>
      <c r="C32" s="4"/>
      <c r="D32" s="4"/>
      <c r="E32" s="4"/>
      <c r="F32" s="4"/>
    </row>
    <row r="33" spans="1:6" x14ac:dyDescent="0.2">
      <c r="A33" s="4" t="s">
        <v>318</v>
      </c>
      <c r="B33" s="12">
        <f>B31/B32</f>
        <v>103.11201849903006</v>
      </c>
      <c r="C33" s="4"/>
      <c r="D33" s="4"/>
      <c r="E33" s="4"/>
      <c r="F33" s="4"/>
    </row>
    <row r="34" spans="1:6" x14ac:dyDescent="0.2">
      <c r="A34" s="4" t="s">
        <v>319</v>
      </c>
      <c r="B34" s="13">
        <v>0.02</v>
      </c>
      <c r="C34" s="13">
        <v>2.5000000000000001E-2</v>
      </c>
      <c r="D34" s="13">
        <v>0.03</v>
      </c>
      <c r="E34" s="4"/>
      <c r="F34" s="4"/>
    </row>
    <row r="35" spans="1:6" x14ac:dyDescent="0.2">
      <c r="A35" s="13">
        <f>$B$10-0.01</f>
        <v>9.5102714095963589E-2</v>
      </c>
      <c r="B35" s="14">
        <f>(B$22/(1+$A35)^1+C$22/(1+$A35)^2+D$22/(1+$A35)^3+E$22/(1+$A35)^4+F$22/(1+$A35)^5+$F$22*(1+B$34)/($A35-B$34)/(1+$A35)^5+$B$29-$B$30)/$B$32</f>
        <v>111.62529140336932</v>
      </c>
      <c r="C35" s="14">
        <f>(B$22/(1+$A35)^1+C$22/(1+$A35)^2+D$22/(1+$A35)^3+E$22/(1+$A35)^4+F$22/(1+$A35)^5+$F$22*(1+C$34)/($A35-C$34)/(1+$A35)^5+$B$29-$B$30)/$B$32</f>
        <v>117.52547723255041</v>
      </c>
      <c r="D35" s="14">
        <f>(B$22/(1+$A35)^1+C$22/(1+$A35)^2+D$22/(1+$A35)^3+E$22/(1+$A35)^4+F$22/(1+$A35)^5+$F$22*(1+D$34)/($A35-D$34)/(1+$A35)^5+$B$29-$B$30)/$B$32</f>
        <v>124.33195182574279</v>
      </c>
      <c r="E35" s="4"/>
      <c r="F35" s="4"/>
    </row>
    <row r="36" spans="1:6" x14ac:dyDescent="0.2">
      <c r="A36" s="13">
        <f>$B$10</f>
        <v>0.10510271409596358</v>
      </c>
      <c r="B36" s="14">
        <f>(B$22/(1+$A36)^1+C$22/(1+$A36)^2+D$22/(1+$A36)^3+E$22/(1+$A36)^4+F$22/(1+$A36)^5+$F$22*(1+B$34)/($A36-B$34)/(1+$A36)^5+$B$29-$B$30)/$B$32</f>
        <v>98.717873825949709</v>
      </c>
      <c r="C36" s="14">
        <f>(B$22/(1+$A36)^1+C$22/(1+$A36)^2+D$22/(1+$A36)^3+E$22/(1+$A36)^4+F$22/(1+$A36)^5+$F$22*(1+C$34)/($A36-C$34)/(1+$A36)^5+$B$29-$B$30)/$B$32</f>
        <v>103.11201849903006</v>
      </c>
      <c r="D36" s="14">
        <f>(B$22/(1+$A36)^1+C$22/(1+$A36)^2+D$22/(1+$A36)^3+E$22/(1+$A36)^4+F$22/(1+$A36)^5+$F$22*(1+D$34)/($A36-D$34)/(1+$A36)^5+$B$29-$B$30)/$B$32</f>
        <v>108.09124784261458</v>
      </c>
      <c r="E36" s="4"/>
      <c r="F36" s="4"/>
    </row>
    <row r="37" spans="1:6" x14ac:dyDescent="0.2">
      <c r="A37" s="13">
        <f>$B$10+0.01</f>
        <v>0.11510271409596358</v>
      </c>
      <c r="B37" s="14">
        <f>(B$22/(1+$A37)^1+C$22/(1+$A37)^2+D$22/(1+$A37)^3+E$22/(1+$A37)^4+F$22/(1+$A37)^5+$F$22*(1+B$34)/($A37-B$34)/(1+$A37)^5+$B$29-$B$30)/$B$32</f>
        <v>88.526323994563882</v>
      </c>
      <c r="C37" s="14">
        <f>(B$22/(1+$A37)^1+C$22/(1+$A37)^2+D$22/(1+$A37)^3+E$22/(1+$A37)^4+F$22/(1+$A37)^5+$F$22*(1+C$34)/($A37-C$34)/(1+$A37)^5+$B$29-$B$30)/$B$32</f>
        <v>91.898306401556226</v>
      </c>
      <c r="D37" s="14">
        <f>(B$22/(1+$A37)^1+C$22/(1+$A37)^2+D$22/(1+$A37)^3+E$22/(1+$A37)^4+F$22/(1+$A37)^5+$F$22*(1+D$34)/($A37-D$34)/(1+$A37)^5+$B$29-$B$30)/$B$32</f>
        <v>95.666513822381859</v>
      </c>
      <c r="E37" s="4"/>
      <c r="F37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7" width="25" customWidth="1"/>
  </cols>
  <sheetData>
    <row r="1" spans="1:7" ht="19" x14ac:dyDescent="0.2">
      <c r="A1" s="1" t="s">
        <v>320</v>
      </c>
      <c r="B1" s="1"/>
      <c r="C1" s="1"/>
      <c r="D1" s="1"/>
      <c r="E1" s="1"/>
      <c r="F1" s="1"/>
      <c r="G1" s="1"/>
    </row>
    <row r="2" spans="1:7" x14ac:dyDescent="0.2">
      <c r="A2" s="2" t="s">
        <v>321</v>
      </c>
      <c r="B2" s="2" t="s">
        <v>2</v>
      </c>
      <c r="C2" s="2"/>
      <c r="D2" s="2"/>
      <c r="E2" s="2"/>
      <c r="F2" s="2"/>
      <c r="G2" s="2"/>
    </row>
    <row r="3" spans="1:7" x14ac:dyDescent="0.2">
      <c r="A3" s="4" t="s">
        <v>322</v>
      </c>
      <c r="B3" s="12">
        <f>Inputs!$C$19+Inputs!$C$22</f>
        <v>144.74800000000002</v>
      </c>
      <c r="C3" s="4"/>
      <c r="D3" s="4"/>
      <c r="E3" s="4"/>
      <c r="F3" s="4"/>
      <c r="G3" s="4"/>
    </row>
    <row r="4" spans="1:7" x14ac:dyDescent="0.2">
      <c r="A4" s="4" t="s">
        <v>323</v>
      </c>
      <c r="B4" s="15">
        <f>Inputs!$C$62</f>
        <v>20</v>
      </c>
      <c r="C4" s="4"/>
      <c r="D4" s="4"/>
      <c r="E4" s="4"/>
      <c r="F4" s="4"/>
      <c r="G4" s="4"/>
    </row>
    <row r="5" spans="1:7" x14ac:dyDescent="0.2">
      <c r="A5" s="4" t="s">
        <v>324</v>
      </c>
      <c r="B5" s="12">
        <f>B3*B4</f>
        <v>2894.9600000000005</v>
      </c>
      <c r="C5" s="4"/>
      <c r="D5" s="4"/>
      <c r="E5" s="4"/>
      <c r="F5" s="4"/>
      <c r="G5" s="4"/>
    </row>
    <row r="6" spans="1:7" x14ac:dyDescent="0.2">
      <c r="A6" s="4" t="s">
        <v>325</v>
      </c>
      <c r="B6" s="12">
        <f>Inputs!$C$29+Inputs!$C$30+Inputs!$C$31 - (Inputs!$C$26+Inputs!$C$27+Inputs!$C$28)</f>
        <v>-33.763000000000005</v>
      </c>
      <c r="C6" s="4"/>
      <c r="D6" s="4"/>
      <c r="E6" s="4"/>
      <c r="F6" s="4"/>
      <c r="G6" s="4"/>
    </row>
    <row r="7" spans="1:7" x14ac:dyDescent="0.2">
      <c r="A7" s="4" t="s">
        <v>326</v>
      </c>
      <c r="B7" s="12">
        <f>B5-B6</f>
        <v>2928.7230000000004</v>
      </c>
      <c r="C7" s="4"/>
      <c r="D7" s="4"/>
      <c r="E7" s="4"/>
      <c r="F7" s="4"/>
      <c r="G7" s="4"/>
    </row>
    <row r="8" spans="1:7" x14ac:dyDescent="0.2">
      <c r="A8" s="4" t="s">
        <v>144</v>
      </c>
      <c r="B8" s="12">
        <f>B5*Inputs!$C$69</f>
        <v>28.949600000000004</v>
      </c>
      <c r="C8" s="4"/>
      <c r="D8" s="4"/>
      <c r="E8" s="4"/>
      <c r="F8" s="4"/>
      <c r="G8" s="4"/>
    </row>
    <row r="9" spans="1:7" x14ac:dyDescent="0.2">
      <c r="A9" s="4" t="s">
        <v>327</v>
      </c>
      <c r="B9" s="12">
        <f>B3*Inputs!$C$64</f>
        <v>506.61800000000005</v>
      </c>
      <c r="C9" s="4"/>
      <c r="D9" s="4"/>
      <c r="E9" s="4"/>
      <c r="F9" s="4"/>
      <c r="G9" s="4"/>
    </row>
    <row r="10" spans="1:7" x14ac:dyDescent="0.2">
      <c r="A10" s="4" t="s">
        <v>328</v>
      </c>
      <c r="B10" s="12">
        <f>B3*Inputs!$C$65</f>
        <v>217.12200000000001</v>
      </c>
      <c r="C10" s="4"/>
      <c r="D10" s="4"/>
      <c r="E10" s="4"/>
      <c r="F10" s="4"/>
      <c r="G10" s="4"/>
    </row>
    <row r="11" spans="1:7" x14ac:dyDescent="0.2">
      <c r="A11" s="4" t="s">
        <v>329</v>
      </c>
      <c r="B11" s="12">
        <f>B5+B8-B9-B10</f>
        <v>2200.1696000000006</v>
      </c>
      <c r="C11" s="4"/>
      <c r="D11" s="4"/>
      <c r="E11" s="4"/>
      <c r="F11" s="4"/>
      <c r="G11" s="4"/>
    </row>
    <row r="12" spans="1:7" x14ac:dyDescent="0.2">
      <c r="A12" s="4" t="s">
        <v>330</v>
      </c>
      <c r="B12" s="12">
        <f>B7+(Inputs!$C$29+Inputs!$C$30+Inputs!$C$31)+B8</f>
        <v>3056.3296000000005</v>
      </c>
      <c r="C12" s="4"/>
      <c r="D12" s="4"/>
      <c r="E12" s="4"/>
      <c r="F12" s="4"/>
      <c r="G12" s="4"/>
    </row>
    <row r="13" spans="1:7" x14ac:dyDescent="0.2">
      <c r="A13" s="4" t="s">
        <v>331</v>
      </c>
      <c r="B13" s="12">
        <f>B9+B10+B11+(Inputs!$C$26+Inputs!$C$27+Inputs!$C$28)</f>
        <v>3056.3296000000009</v>
      </c>
      <c r="C13" s="4"/>
      <c r="D13" s="4"/>
      <c r="E13" s="4"/>
      <c r="F13" s="4"/>
      <c r="G13" s="4"/>
    </row>
    <row r="14" spans="1:7" x14ac:dyDescent="0.2">
      <c r="A14" s="4" t="s">
        <v>332</v>
      </c>
      <c r="B14" s="12">
        <f>B13-B12</f>
        <v>0</v>
      </c>
      <c r="C14" s="4"/>
      <c r="D14" s="4"/>
      <c r="E14" s="4"/>
      <c r="F14" s="4"/>
      <c r="G14" s="4"/>
    </row>
    <row r="15" spans="1:7" x14ac:dyDescent="0.2">
      <c r="A15" s="4" t="s">
        <v>333</v>
      </c>
      <c r="B15" s="15">
        <f>Inputs!$C$47+Inputs!$C$66</f>
        <v>7.7699999999999991E-2</v>
      </c>
      <c r="C15" s="4"/>
      <c r="D15" s="4"/>
      <c r="E15" s="4"/>
      <c r="F15" s="4"/>
      <c r="G15" s="4"/>
    </row>
    <row r="16" spans="1:7" x14ac:dyDescent="0.2">
      <c r="A16" s="4" t="s">
        <v>334</v>
      </c>
      <c r="B16" s="15">
        <f>Inputs!$C$47+Inputs!$C$67</f>
        <v>8.5199999999999998E-2</v>
      </c>
      <c r="C16" s="4"/>
      <c r="D16" s="4"/>
      <c r="E16" s="4"/>
      <c r="F16" s="4"/>
      <c r="G16" s="4"/>
    </row>
    <row r="17" spans="1:7" x14ac:dyDescent="0.2">
      <c r="A17" s="4" t="s">
        <v>335</v>
      </c>
      <c r="B17" s="4" t="s">
        <v>293</v>
      </c>
      <c r="C17" s="4" t="s">
        <v>294</v>
      </c>
      <c r="D17" s="4" t="s">
        <v>295</v>
      </c>
      <c r="E17" s="4" t="s">
        <v>296</v>
      </c>
      <c r="F17" s="4" t="s">
        <v>297</v>
      </c>
      <c r="G17" s="4"/>
    </row>
    <row r="18" spans="1:7" x14ac:dyDescent="0.2">
      <c r="A18" s="4" t="s">
        <v>298</v>
      </c>
      <c r="B18" s="4">
        <v>2026</v>
      </c>
      <c r="C18" s="4">
        <v>2027</v>
      </c>
      <c r="D18" s="4">
        <v>2028</v>
      </c>
      <c r="E18" s="4">
        <v>2029</v>
      </c>
      <c r="F18" s="4">
        <v>2030</v>
      </c>
      <c r="G18" s="4"/>
    </row>
    <row r="19" spans="1:7" x14ac:dyDescent="0.2">
      <c r="A19" s="4" t="s">
        <v>300</v>
      </c>
      <c r="B19" s="12">
        <f>DCF!B14</f>
        <v>434.88824499999998</v>
      </c>
      <c r="C19" s="12">
        <f>DCF!C14</f>
        <v>452.2837748</v>
      </c>
      <c r="D19" s="12">
        <f>DCF!D14</f>
        <v>468.11370691799999</v>
      </c>
      <c r="E19" s="12">
        <f>DCF!E14</f>
        <v>482.15711812554002</v>
      </c>
      <c r="F19" s="12">
        <f>DCF!F14</f>
        <v>494.21104607867846</v>
      </c>
      <c r="G19" s="4"/>
    </row>
    <row r="20" spans="1:7" x14ac:dyDescent="0.2">
      <c r="A20" s="4" t="s">
        <v>301</v>
      </c>
      <c r="B20" s="12">
        <f>DCF!B15</f>
        <v>136.98979717500001</v>
      </c>
      <c r="C20" s="12">
        <f>DCF!C15</f>
        <v>142.469389062</v>
      </c>
      <c r="D20" s="12">
        <f>DCF!D15</f>
        <v>147.45581767917</v>
      </c>
      <c r="E20" s="12">
        <f>DCF!E15</f>
        <v>151.87949220954511</v>
      </c>
      <c r="F20" s="12">
        <f>DCF!F15</f>
        <v>155.67647951478372</v>
      </c>
      <c r="G20" s="4"/>
    </row>
    <row r="21" spans="1:7" x14ac:dyDescent="0.2">
      <c r="A21" s="4" t="s">
        <v>304</v>
      </c>
      <c r="B21" s="12">
        <f>DCF!B18</f>
        <v>12.611759105000001</v>
      </c>
      <c r="C21" s="12">
        <f>DCF!C18</f>
        <v>13.1162294692</v>
      </c>
      <c r="D21" s="12">
        <f>DCF!D18</f>
        <v>13.575297500622</v>
      </c>
      <c r="E21" s="12">
        <f>DCF!E18</f>
        <v>13.982556425640661</v>
      </c>
      <c r="F21" s="12">
        <f>DCF!F18</f>
        <v>14.332120336281676</v>
      </c>
      <c r="G21" s="4"/>
    </row>
    <row r="22" spans="1:7" x14ac:dyDescent="0.2">
      <c r="A22" s="4" t="s">
        <v>305</v>
      </c>
      <c r="B22" s="12">
        <f>DCF!B19</f>
        <v>12.176870859999999</v>
      </c>
      <c r="C22" s="12">
        <f>DCF!C19</f>
        <v>12.663945694400001</v>
      </c>
      <c r="D22" s="12">
        <f>DCF!D19</f>
        <v>13.107183793703999</v>
      </c>
      <c r="E22" s="12">
        <f>DCF!E19</f>
        <v>13.500399307515121</v>
      </c>
      <c r="F22" s="12">
        <f>DCF!F19</f>
        <v>13.837909290202997</v>
      </c>
      <c r="G22" s="4"/>
    </row>
    <row r="23" spans="1:7" x14ac:dyDescent="0.2">
      <c r="A23" s="4" t="s">
        <v>336</v>
      </c>
      <c r="B23" s="12">
        <f>DCF!B21</f>
        <v>-2.3418900000000136</v>
      </c>
      <c r="C23" s="12">
        <f>DCF!C21</f>
        <v>-2.1753556000000032</v>
      </c>
      <c r="D23" s="12">
        <f>DCF!D21</f>
        <v>-1.9795735959999945</v>
      </c>
      <c r="E23" s="12">
        <f>DCF!E21</f>
        <v>-1.7561645758800069</v>
      </c>
      <c r="F23" s="12">
        <f>DCF!F21</f>
        <v>-1.5073745942969907</v>
      </c>
      <c r="G23" s="4"/>
    </row>
    <row r="24" spans="1:7" x14ac:dyDescent="0.2">
      <c r="A24" s="4" t="s">
        <v>337</v>
      </c>
      <c r="B24" s="12">
        <f>B20+B21</f>
        <v>149.60155628000001</v>
      </c>
      <c r="C24" s="12">
        <f>C20+C21</f>
        <v>155.5856185312</v>
      </c>
      <c r="D24" s="12">
        <f>D20+D21</f>
        <v>161.03111517979198</v>
      </c>
      <c r="E24" s="12">
        <f>E20+E21</f>
        <v>165.86204863518577</v>
      </c>
      <c r="F24" s="12">
        <f>F20+F21</f>
        <v>170.00859985106541</v>
      </c>
      <c r="G24" s="4"/>
    </row>
    <row r="25" spans="1:7" x14ac:dyDescent="0.2">
      <c r="A25" s="4" t="s">
        <v>338</v>
      </c>
      <c r="B25" s="12">
        <f>$B$9</f>
        <v>506.61800000000005</v>
      </c>
      <c r="C25" s="12">
        <f t="shared" ref="C25:F26" si="0">B35</f>
        <v>436.71368862077634</v>
      </c>
      <c r="D25" s="12">
        <f t="shared" si="0"/>
        <v>357.70199124839831</v>
      </c>
      <c r="E25" s="12">
        <f t="shared" si="0"/>
        <v>269.43176556595586</v>
      </c>
      <c r="F25" s="12">
        <f t="shared" si="0"/>
        <v>171.79954438250672</v>
      </c>
      <c r="G25" s="4"/>
    </row>
    <row r="26" spans="1:7" x14ac:dyDescent="0.2">
      <c r="A26" s="4" t="s">
        <v>339</v>
      </c>
      <c r="B26" s="12">
        <f>$B$10</f>
        <v>217.12200000000001</v>
      </c>
      <c r="C26" s="12">
        <f t="shared" si="0"/>
        <v>217.12200000000001</v>
      </c>
      <c r="D26" s="12">
        <f t="shared" si="0"/>
        <v>217.12200000000001</v>
      </c>
      <c r="E26" s="12">
        <f t="shared" si="0"/>
        <v>217.12200000000001</v>
      </c>
      <c r="F26" s="12">
        <f t="shared" si="0"/>
        <v>217.12200000000001</v>
      </c>
      <c r="G26" s="4"/>
    </row>
    <row r="27" spans="1:7" x14ac:dyDescent="0.2">
      <c r="A27" s="4" t="s">
        <v>340</v>
      </c>
      <c r="B27" s="12">
        <f>B25*$B$15</f>
        <v>39.364218600000001</v>
      </c>
      <c r="C27" s="12">
        <f>C25*$B$15</f>
        <v>33.932653605834318</v>
      </c>
      <c r="D27" s="12">
        <f>D25*$B$15</f>
        <v>27.793444720000547</v>
      </c>
      <c r="E27" s="12">
        <f>E25*$B$15</f>
        <v>20.934848184474767</v>
      </c>
      <c r="F27" s="12">
        <f>F25*$B$15</f>
        <v>13.348824598520771</v>
      </c>
      <c r="G27" s="4"/>
    </row>
    <row r="28" spans="1:7" x14ac:dyDescent="0.2">
      <c r="A28" s="4" t="s">
        <v>341</v>
      </c>
      <c r="B28" s="12">
        <f>B26*$B$16</f>
        <v>18.498794400000001</v>
      </c>
      <c r="C28" s="12">
        <f>C26*$B$16</f>
        <v>18.498794400000001</v>
      </c>
      <c r="D28" s="12">
        <f>D26*$B$16</f>
        <v>18.498794400000001</v>
      </c>
      <c r="E28" s="12">
        <f>E26*$B$16</f>
        <v>18.498794400000001</v>
      </c>
      <c r="F28" s="12">
        <f>F26*$B$16</f>
        <v>18.498794400000001</v>
      </c>
      <c r="G28" s="4"/>
    </row>
    <row r="29" spans="1:7" x14ac:dyDescent="0.2">
      <c r="A29" s="4" t="s">
        <v>342</v>
      </c>
      <c r="B29" s="12">
        <f>B27+B28</f>
        <v>57.863013000000002</v>
      </c>
      <c r="C29" s="12">
        <f>C27+C28</f>
        <v>52.431448005834319</v>
      </c>
      <c r="D29" s="12">
        <f>D27+D28</f>
        <v>46.292239120000545</v>
      </c>
      <c r="E29" s="12">
        <f>E27+E28</f>
        <v>39.433642584474768</v>
      </c>
      <c r="F29" s="12">
        <f>F27+F28</f>
        <v>31.847618998520772</v>
      </c>
      <c r="G29" s="4"/>
    </row>
    <row r="30" spans="1:7" x14ac:dyDescent="0.2">
      <c r="A30" s="4" t="s">
        <v>343</v>
      </c>
      <c r="B30" s="12">
        <f>MAX(0,(B20-B29)*Inputs!$C$51)</f>
        <v>11.999251040776288</v>
      </c>
      <c r="C30" s="12">
        <f>MAX(0,(C20-C29)*Inputs!$C$51)</f>
        <v>13.653883058587603</v>
      </c>
      <c r="D30" s="12">
        <f>MAX(0,(D20-D29)*Inputs!$C$51)</f>
        <v>15.341040179644931</v>
      </c>
      <c r="E30" s="12">
        <f>MAX(0,(E20-E29)*Inputs!$C$51)</f>
        <v>17.05195013562674</v>
      </c>
      <c r="F30" s="12">
        <f>MAX(0,(F20-F29)*Inputs!$C$51)</f>
        <v>18.778136871349858</v>
      </c>
      <c r="G30" s="4"/>
    </row>
    <row r="31" spans="1:7" x14ac:dyDescent="0.2">
      <c r="A31" s="4" t="s">
        <v>344</v>
      </c>
      <c r="B31" s="12">
        <f>B20+B21-B22-B23-B30-B29</f>
        <v>69.904311379223714</v>
      </c>
      <c r="C31" s="12">
        <f>C20+C21-C22-C23-C30-C29</f>
        <v>79.011697372378052</v>
      </c>
      <c r="D31" s="12">
        <f>D20+D21-D22-D23-D30-D29</f>
        <v>88.270225682442515</v>
      </c>
      <c r="E31" s="12">
        <f>E20+E21-E22-E23-E30-E29</f>
        <v>97.632221183449161</v>
      </c>
      <c r="F31" s="12">
        <f>F20+F21-F22-F23-F30-F29</f>
        <v>107.05230928528877</v>
      </c>
      <c r="G31" s="4"/>
    </row>
    <row r="32" spans="1:7" x14ac:dyDescent="0.2">
      <c r="A32" s="4" t="s">
        <v>345</v>
      </c>
      <c r="B32" s="12">
        <f>IF(B18-2025&gt;=Inputs!$C$76,B25,MIN(B25,$B$9*Inputs!$C$68))</f>
        <v>5.066180000000001</v>
      </c>
      <c r="C32" s="12">
        <f>IF(C18-2025&gt;=Inputs!$C$76,C25,MIN(C25,$B$9*Inputs!$C$68))</f>
        <v>5.066180000000001</v>
      </c>
      <c r="D32" s="12">
        <f>IF(D18-2025&gt;=Inputs!$C$76,D25,MIN(D25,$B$9*Inputs!$C$68))</f>
        <v>5.066180000000001</v>
      </c>
      <c r="E32" s="12">
        <f>IF(E18-2025&gt;=Inputs!$C$76,E25,MIN(E25,$B$9*Inputs!$C$68))</f>
        <v>5.066180000000001</v>
      </c>
      <c r="F32" s="12">
        <f>IF(F18-2025&gt;=Inputs!$C$76,F25,MIN(F25,$B$9*Inputs!$C$68))</f>
        <v>5.066180000000001</v>
      </c>
      <c r="G32" s="4"/>
    </row>
    <row r="33" spans="1:7" x14ac:dyDescent="0.2">
      <c r="A33" s="4" t="s">
        <v>346</v>
      </c>
      <c r="B33" s="12">
        <f>MIN(MAX(0,B25-B32),MAX(0,B31-B32)*Inputs!$C$79)</f>
        <v>64.838131379223711</v>
      </c>
      <c r="C33" s="12">
        <f>MIN(MAX(0,C25-C32),MAX(0,C31-C32)*Inputs!$C$79)</f>
        <v>73.945517372378049</v>
      </c>
      <c r="D33" s="12">
        <f>MIN(MAX(0,D25-D32),MAX(0,D31-D32)*Inputs!$C$79)</f>
        <v>83.204045682442512</v>
      </c>
      <c r="E33" s="12">
        <f>MIN(MAX(0,E25-E32),MAX(0,E31-E32)*Inputs!$C$79)</f>
        <v>92.566041183449158</v>
      </c>
      <c r="F33" s="12">
        <f>MIN(MAX(0,F25-F32),MAX(0,F31-F32)*Inputs!$C$79)</f>
        <v>101.98612928528877</v>
      </c>
      <c r="G33" s="4"/>
    </row>
    <row r="34" spans="1:7" x14ac:dyDescent="0.2">
      <c r="A34" s="4" t="s">
        <v>347</v>
      </c>
      <c r="B34" s="12">
        <f>MIN(B26,MIN(B26,IF(B18-2025&gt;=Inputs!$C$77,B26,B26*Inputs!$C$78))+MAX(0,B31-B32-B33-MIN(B26,IF(B18-2025&gt;=Inputs!$C$77,B26,B26*Inputs!$C$78))))</f>
        <v>0</v>
      </c>
      <c r="C34" s="12">
        <f>MIN(C26,MIN(C26,IF(C18-2025&gt;=Inputs!$C$77,C26,C26*Inputs!$C$78))+MAX(0,C31-C32-C33-MIN(C26,IF(C18-2025&gt;=Inputs!$C$77,C26,C26*Inputs!$C$78))))</f>
        <v>0</v>
      </c>
      <c r="D34" s="12">
        <f>MIN(D26,MIN(D26,IF(D18-2025&gt;=Inputs!$C$77,D26,D26*Inputs!$C$78))+MAX(0,D31-D32-D33-MIN(D26,IF(D18-2025&gt;=Inputs!$C$77,D26,D26*Inputs!$C$78))))</f>
        <v>0</v>
      </c>
      <c r="E34" s="12">
        <f>MIN(E26,MIN(E26,IF(E18-2025&gt;=Inputs!$C$77,E26,E26*Inputs!$C$78))+MAX(0,E31-E32-E33-MIN(E26,IF(E18-2025&gt;=Inputs!$C$77,E26,E26*Inputs!$C$78))))</f>
        <v>0</v>
      </c>
      <c r="F34" s="12">
        <f>MIN(F26,MIN(F26,IF(F18-2025&gt;=Inputs!$C$77,F26,F26*Inputs!$C$78))+MAX(0,F31-F32-F33-MIN(F26,IF(F18-2025&gt;=Inputs!$C$77,F26,F26*Inputs!$C$78))))</f>
        <v>0</v>
      </c>
      <c r="G34" s="4"/>
    </row>
    <row r="35" spans="1:7" x14ac:dyDescent="0.2">
      <c r="A35" s="4" t="s">
        <v>348</v>
      </c>
      <c r="B35" s="12">
        <f>B25-B32-B33</f>
        <v>436.71368862077634</v>
      </c>
      <c r="C35" s="12">
        <f>C25-C32-C33</f>
        <v>357.70199124839831</v>
      </c>
      <c r="D35" s="12">
        <f>D25-D32-D33</f>
        <v>269.43176556595586</v>
      </c>
      <c r="E35" s="12">
        <f>E25-E32-E33</f>
        <v>171.79954438250672</v>
      </c>
      <c r="F35" s="12">
        <f>F25-F32-F33</f>
        <v>64.747235097217953</v>
      </c>
      <c r="G35" s="4"/>
    </row>
    <row r="36" spans="1:7" x14ac:dyDescent="0.2">
      <c r="A36" s="4" t="s">
        <v>349</v>
      </c>
      <c r="B36" s="12">
        <f>B26-B34</f>
        <v>217.12200000000001</v>
      </c>
      <c r="C36" s="12">
        <f>C26-C34</f>
        <v>217.12200000000001</v>
      </c>
      <c r="D36" s="12">
        <f>D26-D34</f>
        <v>217.12200000000001</v>
      </c>
      <c r="E36" s="12">
        <f>E26-E34</f>
        <v>217.12200000000001</v>
      </c>
      <c r="F36" s="12">
        <f>F26-F34</f>
        <v>217.12200000000001</v>
      </c>
      <c r="G36" s="4"/>
    </row>
    <row r="37" spans="1:7" x14ac:dyDescent="0.2">
      <c r="A37" s="4" t="s">
        <v>350</v>
      </c>
      <c r="B37" s="12">
        <f>B35+B36</f>
        <v>653.83568862077641</v>
      </c>
      <c r="C37" s="12">
        <f>C35+C36</f>
        <v>574.82399124839833</v>
      </c>
      <c r="D37" s="12">
        <f>D35+D36</f>
        <v>486.55376556595587</v>
      </c>
      <c r="E37" s="12">
        <f>E35+E36</f>
        <v>388.92154438250674</v>
      </c>
      <c r="F37" s="12">
        <f>F35+F36</f>
        <v>281.86923509721794</v>
      </c>
      <c r="G37" s="4"/>
    </row>
    <row r="38" spans="1:7" x14ac:dyDescent="0.2">
      <c r="A38" s="4" t="s">
        <v>351</v>
      </c>
      <c r="B38" s="4" t="s">
        <v>2</v>
      </c>
      <c r="C38" s="4"/>
      <c r="D38" s="4"/>
      <c r="E38" s="4"/>
      <c r="F38" s="4"/>
      <c r="G38" s="4"/>
    </row>
    <row r="39" spans="1:7" x14ac:dyDescent="0.2">
      <c r="A39" s="4" t="s">
        <v>352</v>
      </c>
      <c r="B39" s="12">
        <f>F24</f>
        <v>170.00859985106541</v>
      </c>
      <c r="C39" s="4"/>
      <c r="D39" s="4"/>
      <c r="E39" s="4"/>
      <c r="F39" s="4"/>
      <c r="G39" s="4"/>
    </row>
    <row r="40" spans="1:7" x14ac:dyDescent="0.2">
      <c r="A40" s="4" t="s">
        <v>353</v>
      </c>
      <c r="B40" s="15">
        <f>Inputs!$C$63</f>
        <v>19</v>
      </c>
      <c r="C40" s="4"/>
      <c r="D40" s="4"/>
      <c r="E40" s="4"/>
      <c r="F40" s="4"/>
      <c r="G40" s="4"/>
    </row>
    <row r="41" spans="1:7" x14ac:dyDescent="0.2">
      <c r="A41" s="4" t="s">
        <v>354</v>
      </c>
      <c r="B41" s="12">
        <f>B39*B40</f>
        <v>3230.1633971702427</v>
      </c>
      <c r="C41" s="4"/>
      <c r="D41" s="4"/>
      <c r="E41" s="4"/>
      <c r="F41" s="4"/>
      <c r="G41" s="4"/>
    </row>
    <row r="42" spans="1:7" x14ac:dyDescent="0.2">
      <c r="A42" s="4" t="s">
        <v>355</v>
      </c>
      <c r="B42" s="12">
        <f>F37</f>
        <v>281.86923509721794</v>
      </c>
      <c r="C42" s="4"/>
      <c r="D42" s="4"/>
      <c r="E42" s="4"/>
      <c r="F42" s="4"/>
      <c r="G42" s="4"/>
    </row>
    <row r="43" spans="1:7" x14ac:dyDescent="0.2">
      <c r="A43" s="4" t="s">
        <v>356</v>
      </c>
      <c r="B43" s="12">
        <f>B41-B42</f>
        <v>2948.2941620730248</v>
      </c>
      <c r="C43" s="4"/>
      <c r="D43" s="4"/>
      <c r="E43" s="4"/>
      <c r="F43" s="4"/>
      <c r="G43" s="4"/>
    </row>
    <row r="44" spans="1:7" x14ac:dyDescent="0.2">
      <c r="A44" s="4" t="s">
        <v>357</v>
      </c>
      <c r="B44" s="4">
        <v>0</v>
      </c>
      <c r="C44" s="4">
        <v>1</v>
      </c>
      <c r="D44" s="4">
        <v>2</v>
      </c>
      <c r="E44" s="4">
        <v>3</v>
      </c>
      <c r="F44" s="4">
        <v>4</v>
      </c>
      <c r="G44" s="4">
        <v>5</v>
      </c>
    </row>
    <row r="45" spans="1:7" x14ac:dyDescent="0.2">
      <c r="A45" s="4" t="s">
        <v>358</v>
      </c>
      <c r="B45" s="12">
        <f>-B11</f>
        <v>-2200.1696000000006</v>
      </c>
      <c r="C45" s="12">
        <f>Inputs!$C$81</f>
        <v>0</v>
      </c>
      <c r="D45" s="12">
        <f>Inputs!$C$81</f>
        <v>0</v>
      </c>
      <c r="E45" s="12">
        <f>Inputs!$C$81</f>
        <v>0</v>
      </c>
      <c r="F45" s="12">
        <f>Inputs!$C$81</f>
        <v>0</v>
      </c>
      <c r="G45" s="12">
        <f>B43+Inputs!$C$81</f>
        <v>2948.2941620730248</v>
      </c>
    </row>
    <row r="46" spans="1:7" x14ac:dyDescent="0.2">
      <c r="A46" s="4" t="s">
        <v>359</v>
      </c>
      <c r="B46" s="12">
        <f>B43/B11</f>
        <v>1.3400304058709946</v>
      </c>
      <c r="C46" s="4"/>
      <c r="D46" s="4"/>
      <c r="E46" s="4"/>
      <c r="F46" s="4"/>
      <c r="G46" s="4"/>
    </row>
    <row r="47" spans="1:7" x14ac:dyDescent="0.2">
      <c r="A47" s="4" t="s">
        <v>360</v>
      </c>
      <c r="B47" s="12">
        <f>IRR(B45:G45)</f>
        <v>6.0285764487790994E-2</v>
      </c>
      <c r="C47" s="4"/>
      <c r="D47" s="4"/>
      <c r="E47" s="4"/>
      <c r="F47" s="4"/>
      <c r="G47" s="4"/>
    </row>
    <row r="48" spans="1:7" x14ac:dyDescent="0.2">
      <c r="A48" s="4" t="s">
        <v>361</v>
      </c>
      <c r="B48" s="16" t="s">
        <v>2</v>
      </c>
      <c r="C48" s="4"/>
      <c r="D48" s="4"/>
      <c r="E48" s="4"/>
      <c r="F48" s="4"/>
      <c r="G48" s="4"/>
    </row>
    <row r="49" spans="1:7" x14ac:dyDescent="0.2">
      <c r="A49" s="4" t="s">
        <v>362</v>
      </c>
      <c r="B49" s="12">
        <f>(1+Inputs!$C$70)^Inputs!$C$71</f>
        <v>2.4883199999999999</v>
      </c>
      <c r="C49" s="4"/>
      <c r="D49" s="4"/>
      <c r="E49" s="4"/>
      <c r="F49" s="4"/>
      <c r="G49" s="4"/>
    </row>
    <row r="50" spans="1:7" x14ac:dyDescent="0.2">
      <c r="A50" s="4" t="s">
        <v>363</v>
      </c>
      <c r="B50" s="12">
        <f>B43/B49</f>
        <v>1184.8532994442135</v>
      </c>
      <c r="C50" s="4"/>
      <c r="D50" s="4"/>
      <c r="E50" s="4"/>
      <c r="F50" s="4"/>
      <c r="G50" s="4"/>
    </row>
    <row r="51" spans="1:7" x14ac:dyDescent="0.2">
      <c r="A51" s="4" t="s">
        <v>364</v>
      </c>
      <c r="B51" s="12">
        <f>(B50+B9+B10)/(1+Inputs!$C$69)</f>
        <v>1889.6963360833797</v>
      </c>
      <c r="C51" s="4"/>
      <c r="D51" s="4"/>
      <c r="E51" s="4"/>
      <c r="F51" s="4"/>
      <c r="G51" s="4"/>
    </row>
    <row r="52" spans="1:7" x14ac:dyDescent="0.2">
      <c r="A52" s="4" t="s">
        <v>365</v>
      </c>
      <c r="B52" s="15">
        <f>B51/B3</f>
        <v>13.055077348795006</v>
      </c>
      <c r="C52" s="4"/>
      <c r="D52" s="4"/>
      <c r="E52" s="4"/>
      <c r="F52" s="4"/>
      <c r="G52" s="4"/>
    </row>
    <row r="53" spans="1:7" x14ac:dyDescent="0.2">
      <c r="A53" s="4" t="s">
        <v>366</v>
      </c>
      <c r="B53" s="14">
        <f>B51-B6</f>
        <v>1923.4593360833796</v>
      </c>
      <c r="C53" s="4"/>
      <c r="D53" s="4"/>
      <c r="E53" s="4"/>
      <c r="F53" s="4"/>
      <c r="G53" s="4"/>
    </row>
    <row r="54" spans="1:7" x14ac:dyDescent="0.2">
      <c r="A54" s="4" t="s">
        <v>367</v>
      </c>
      <c r="B54" s="14">
        <f>B53/Inputs!$C$25</f>
        <v>128.1904816927246</v>
      </c>
      <c r="C54" s="4"/>
      <c r="D54" s="4"/>
      <c r="E54" s="4"/>
      <c r="F54" s="4"/>
      <c r="G54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2" width="12" customWidth="1"/>
    <col min="3" max="3" width="34" customWidth="1"/>
    <col min="4" max="5" width="17" customWidth="1"/>
    <col min="6" max="10" width="15" customWidth="1"/>
    <col min="11" max="11" width="19" customWidth="1"/>
    <col min="12" max="12" width="25" customWidth="1"/>
    <col min="13" max="13" width="19" customWidth="1"/>
    <col min="14" max="15" width="15" customWidth="1"/>
    <col min="16" max="16" width="12" customWidth="1"/>
    <col min="17" max="18" width="27" customWidth="1"/>
    <col min="19" max="19" width="53" customWidth="1"/>
    <col min="20" max="20" width="68" customWidth="1"/>
  </cols>
  <sheetData>
    <row r="1" spans="1:20" ht="19" x14ac:dyDescent="0.2">
      <c r="A1" s="1" t="s">
        <v>368</v>
      </c>
      <c r="B1" s="1" t="s">
        <v>298</v>
      </c>
      <c r="C1" s="1" t="s">
        <v>369</v>
      </c>
      <c r="D1" t="s">
        <v>370</v>
      </c>
      <c r="E1" t="s">
        <v>371</v>
      </c>
      <c r="F1" t="s">
        <v>300</v>
      </c>
      <c r="G1" t="s">
        <v>301</v>
      </c>
      <c r="H1" t="s">
        <v>337</v>
      </c>
      <c r="I1" t="s">
        <v>372</v>
      </c>
      <c r="J1" t="s">
        <v>373</v>
      </c>
      <c r="K1" t="s">
        <v>374</v>
      </c>
      <c r="L1" t="s">
        <v>375</v>
      </c>
      <c r="M1" t="s">
        <v>376</v>
      </c>
      <c r="N1" t="s">
        <v>377</v>
      </c>
      <c r="O1" t="s">
        <v>378</v>
      </c>
      <c r="P1" t="s">
        <v>379</v>
      </c>
      <c r="Q1" t="s">
        <v>380</v>
      </c>
      <c r="R1" t="s">
        <v>381</v>
      </c>
      <c r="S1" t="s">
        <v>382</v>
      </c>
      <c r="T1" t="s">
        <v>383</v>
      </c>
    </row>
    <row r="2" spans="1:20" x14ac:dyDescent="0.2">
      <c r="A2" s="2" t="s">
        <v>384</v>
      </c>
      <c r="B2" s="2" t="s">
        <v>385</v>
      </c>
      <c r="C2" s="2" t="s">
        <v>386</v>
      </c>
      <c r="D2" s="21">
        <f>Inputs!$C$43</f>
        <v>332.89</v>
      </c>
      <c r="E2" s="22">
        <f>Inputs!$C$44</f>
        <v>4858</v>
      </c>
      <c r="F2" s="22">
        <f>Inputs!$C$18</f>
        <v>416.161</v>
      </c>
      <c r="G2" s="22">
        <f>Inputs!$C$19</f>
        <v>133.05000000000001</v>
      </c>
      <c r="H2" s="22">
        <f>G2+Inputs!$C$22</f>
        <v>144.74800000000002</v>
      </c>
      <c r="I2" s="19">
        <f t="shared" ref="I2:I8" si="0">H2/F2</f>
        <v>0.34781731108873731</v>
      </c>
      <c r="J2" s="22">
        <f>Inputs!$C$24</f>
        <v>112.01</v>
      </c>
      <c r="K2" s="22">
        <f>SUM(Inputs!$C$29,Inputs!$C$30,Inputs!$C$31)</f>
        <v>98.657000000000011</v>
      </c>
      <c r="L2" s="22">
        <f>SUM(Inputs!$C$26,Inputs!$C$27,Inputs!$C$28)</f>
        <v>132.42000000000002</v>
      </c>
      <c r="M2" s="22">
        <f t="shared" ref="M2:M8" si="1">E2+K2-L2</f>
        <v>4824.2370000000001</v>
      </c>
      <c r="N2" s="19">
        <f t="shared" ref="N2:N8" si="2">M2/F2</f>
        <v>11.59223713899188</v>
      </c>
      <c r="O2" s="19">
        <f t="shared" ref="O2:O8" si="3">M2/H2</f>
        <v>33.328522673888408</v>
      </c>
      <c r="P2" s="19">
        <f t="shared" ref="P2:P8" si="4">E2/J2</f>
        <v>43.371127577894832</v>
      </c>
      <c r="Q2" s="21">
        <f>(O2*$H$2-$K$2+$L$2)/Inputs!$C$25</f>
        <v>323.76528496376835</v>
      </c>
      <c r="R2" s="21">
        <f>(N2*$F$2-$K$2+$L$2)/Inputs!$C$25</f>
        <v>323.76528496376835</v>
      </c>
      <c r="S2" t="s">
        <v>387</v>
      </c>
      <c r="T2" t="s">
        <v>388</v>
      </c>
    </row>
    <row r="3" spans="1:20" x14ac:dyDescent="0.2">
      <c r="A3" s="2" t="s">
        <v>389</v>
      </c>
      <c r="B3" s="2" t="s">
        <v>390</v>
      </c>
      <c r="C3" s="2" t="s">
        <v>391</v>
      </c>
      <c r="D3" s="21">
        <f>Inputs!$C$45</f>
        <v>529.76</v>
      </c>
      <c r="E3" s="22">
        <f>Inputs!$C$46</f>
        <v>3930</v>
      </c>
      <c r="F3" s="22">
        <f>Inputs!$C$34</f>
        <v>331.839</v>
      </c>
      <c r="G3" s="22">
        <f>Inputs!$C$35</f>
        <v>155.23699999999999</v>
      </c>
      <c r="H3" s="22">
        <f>G3+Inputs!$C$37+Inputs!$C$38</f>
        <v>194.23699999999997</v>
      </c>
      <c r="I3" s="19">
        <f t="shared" si="0"/>
        <v>0.58533505706080347</v>
      </c>
      <c r="J3" s="22">
        <f>Inputs!$C$36</f>
        <v>133.749</v>
      </c>
      <c r="K3" s="22">
        <f>SUM(Inputs!$C$42)</f>
        <v>40.293999999999997</v>
      </c>
      <c r="L3" s="22">
        <f>SUM(Inputs!$C$39,Inputs!$C$40,Inputs!$C$41)</f>
        <v>113.191</v>
      </c>
      <c r="M3" s="22">
        <f t="shared" si="1"/>
        <v>3857.1030000000001</v>
      </c>
      <c r="N3" s="19">
        <f t="shared" si="2"/>
        <v>11.623416777413142</v>
      </c>
      <c r="O3" s="19">
        <f t="shared" si="3"/>
        <v>19.857715059437702</v>
      </c>
      <c r="P3" s="19">
        <f t="shared" si="4"/>
        <v>29.38339725904493</v>
      </c>
      <c r="Q3" s="21">
        <f>(O3*$H$2-$K$2+$L$2)/Inputs!$C$25</f>
        <v>193.81447952087859</v>
      </c>
      <c r="R3" s="21">
        <f>(N3*$F$2-$K$2+$L$2)/Inputs!$C$25</f>
        <v>324.63006413958448</v>
      </c>
      <c r="S3" t="s">
        <v>392</v>
      </c>
      <c r="T3" t="s">
        <v>393</v>
      </c>
    </row>
    <row r="4" spans="1:20" x14ac:dyDescent="0.2">
      <c r="A4" s="2" t="s">
        <v>394</v>
      </c>
      <c r="B4" s="2" t="s">
        <v>385</v>
      </c>
      <c r="C4" s="2" t="s">
        <v>386</v>
      </c>
      <c r="D4" s="21">
        <f>Inputs!$C$124</f>
        <v>348.29</v>
      </c>
      <c r="E4" s="22">
        <f>Inputs!$C$125</f>
        <v>4260</v>
      </c>
      <c r="F4" s="22">
        <f>Inputs!$C$82</f>
        <v>402.83600000000001</v>
      </c>
      <c r="G4" s="22">
        <f>Inputs!$C$83</f>
        <v>129.03899999999999</v>
      </c>
      <c r="H4" s="22">
        <f>G4+Inputs!$C$84</f>
        <v>150.17499999999998</v>
      </c>
      <c r="I4" s="19">
        <f t="shared" si="0"/>
        <v>0.37279438779056484</v>
      </c>
      <c r="J4" s="22">
        <f>Inputs!$C$85</f>
        <v>132.16999999999999</v>
      </c>
      <c r="K4" s="22">
        <f>SUM(Inputs!$C$86)</f>
        <v>48.542999999999999</v>
      </c>
      <c r="L4" s="22">
        <f>SUM(Inputs!$C$87)</f>
        <v>195.53</v>
      </c>
      <c r="M4" s="22">
        <f t="shared" si="1"/>
        <v>4113.0129999999999</v>
      </c>
      <c r="N4" s="19">
        <f t="shared" si="2"/>
        <v>10.210142589043679</v>
      </c>
      <c r="O4" s="19">
        <f t="shared" si="3"/>
        <v>27.388133843848845</v>
      </c>
      <c r="P4" s="19">
        <f t="shared" si="4"/>
        <v>32.231217371566927</v>
      </c>
      <c r="Q4" s="21">
        <f>(O4*$H$2-$K$2+$L$2)/Inputs!$C$25</f>
        <v>266.4592692294575</v>
      </c>
      <c r="R4" s="21">
        <f>(N4*$F$2-$K$2+$L$2)/Inputs!$C$25</f>
        <v>285.43236494539053</v>
      </c>
      <c r="S4" t="s">
        <v>395</v>
      </c>
      <c r="T4" t="s">
        <v>396</v>
      </c>
    </row>
    <row r="5" spans="1:20" x14ac:dyDescent="0.2">
      <c r="A5" s="2" t="s">
        <v>397</v>
      </c>
      <c r="B5" s="2" t="s">
        <v>385</v>
      </c>
      <c r="C5" s="2" t="s">
        <v>386</v>
      </c>
      <c r="D5" s="21">
        <f>Inputs!$C$126</f>
        <v>254.06</v>
      </c>
      <c r="E5" s="22">
        <f>Inputs!$C$127</f>
        <v>2740</v>
      </c>
      <c r="F5" s="22">
        <f>Inputs!$C$89</f>
        <v>716.92399999999998</v>
      </c>
      <c r="G5" s="22">
        <f>Inputs!$C$90</f>
        <v>79.974999999999994</v>
      </c>
      <c r="H5" s="22">
        <f>G5+Inputs!$C$91+Inputs!$C$92</f>
        <v>122.65199999999999</v>
      </c>
      <c r="I5" s="19">
        <f t="shared" si="0"/>
        <v>0.17108089560399706</v>
      </c>
      <c r="J5" s="22">
        <f>Inputs!$C$93</f>
        <v>77.67</v>
      </c>
      <c r="K5" s="22">
        <f>SUM(Inputs!$C$94)</f>
        <v>68.396000000000001</v>
      </c>
      <c r="L5" s="22">
        <f>SUM(Inputs!$C$95)</f>
        <v>123.029</v>
      </c>
      <c r="M5" s="22">
        <f t="shared" si="1"/>
        <v>2685.3670000000002</v>
      </c>
      <c r="N5" s="19">
        <f t="shared" si="2"/>
        <v>3.7456787609286342</v>
      </c>
      <c r="O5" s="19">
        <f t="shared" si="3"/>
        <v>21.894196588722568</v>
      </c>
      <c r="P5" s="19">
        <f t="shared" si="4"/>
        <v>35.277455903180119</v>
      </c>
      <c r="Q5" s="21">
        <f>(O5*$H$2-$K$2+$L$2)/Inputs!$C$25</f>
        <v>213.46010304802655</v>
      </c>
      <c r="R5" s="21">
        <f>(N5*$F$2-$K$2+$L$2)/Inputs!$C$25</f>
        <v>106.13799257837871</v>
      </c>
      <c r="S5" t="s">
        <v>392</v>
      </c>
      <c r="T5" t="s">
        <v>398</v>
      </c>
    </row>
    <row r="6" spans="1:20" x14ac:dyDescent="0.2">
      <c r="A6" s="2" t="s">
        <v>399</v>
      </c>
      <c r="B6" s="2" t="s">
        <v>385</v>
      </c>
      <c r="C6" s="2" t="s">
        <v>391</v>
      </c>
      <c r="D6" s="21">
        <f>Inputs!$C$128</f>
        <v>720.89</v>
      </c>
      <c r="E6" s="22">
        <f>Inputs!$C$129</f>
        <v>1840</v>
      </c>
      <c r="F6" s="22">
        <f>Inputs!$C$97</f>
        <v>200.96600000000001</v>
      </c>
      <c r="G6" s="22">
        <f>Inputs!$C$98</f>
        <v>83.275999999999996</v>
      </c>
      <c r="H6" s="22">
        <f>G6+Inputs!$C$99+Inputs!$C$100</f>
        <v>101.89099999999999</v>
      </c>
      <c r="I6" s="19">
        <f t="shared" si="0"/>
        <v>0.50700616024601175</v>
      </c>
      <c r="J6" s="22">
        <f>Inputs!$C$101</f>
        <v>60.457999999999998</v>
      </c>
      <c r="K6" s="22">
        <f>SUM(Inputs!$C$105)</f>
        <v>58.744</v>
      </c>
      <c r="L6" s="22">
        <f>SUM(Inputs!$C$106)</f>
        <v>81.591999999999999</v>
      </c>
      <c r="M6" s="22">
        <f t="shared" si="1"/>
        <v>1817.1519999999998</v>
      </c>
      <c r="N6" s="19">
        <f t="shared" si="2"/>
        <v>9.0420867211369078</v>
      </c>
      <c r="O6" s="19">
        <f t="shared" si="3"/>
        <v>17.834273880911955</v>
      </c>
      <c r="P6" s="19">
        <f t="shared" si="4"/>
        <v>30.434351119785639</v>
      </c>
      <c r="Q6" s="21">
        <f>(O6*$H$2-$K$2+$L$2)/Inputs!$C$25</f>
        <v>174.29465424821601</v>
      </c>
      <c r="R6" s="21">
        <f>(N6*$F$2-$K$2+$L$2)/Inputs!$C$25</f>
        <v>253.0358894921408</v>
      </c>
      <c r="S6" t="s">
        <v>400</v>
      </c>
      <c r="T6" t="s">
        <v>398</v>
      </c>
    </row>
    <row r="7" spans="1:20" x14ac:dyDescent="0.2">
      <c r="A7" s="2" t="s">
        <v>401</v>
      </c>
      <c r="B7" s="2" t="s">
        <v>390</v>
      </c>
      <c r="C7" s="2" t="s">
        <v>391</v>
      </c>
      <c r="D7" s="21">
        <f>Inputs!$C$130</f>
        <v>230.48</v>
      </c>
      <c r="E7" s="22">
        <f>Inputs!$C$131</f>
        <v>5730</v>
      </c>
      <c r="F7" s="22">
        <f>Inputs!$C$107</f>
        <v>215.93799999999999</v>
      </c>
      <c r="G7" s="22">
        <f>Inputs!$C$108</f>
        <v>130.387</v>
      </c>
      <c r="H7" s="22">
        <f>G7+Inputs!$C$109+Inputs!$C$110</f>
        <v>133.27500000000001</v>
      </c>
      <c r="I7" s="19">
        <f t="shared" si="0"/>
        <v>0.61719104557789739</v>
      </c>
      <c r="J7" s="22">
        <f>Inputs!$C$111</f>
        <v>120.06699999999999</v>
      </c>
      <c r="K7" s="22">
        <f>SUM(Inputs!$C$112)</f>
        <v>8.468</v>
      </c>
      <c r="L7" s="22">
        <f>SUM(Inputs!$C$116)</f>
        <v>10.605</v>
      </c>
      <c r="M7" s="22">
        <f t="shared" si="1"/>
        <v>5727.8630000000003</v>
      </c>
      <c r="N7" s="19">
        <f t="shared" si="2"/>
        <v>26.52549805962823</v>
      </c>
      <c r="O7" s="19">
        <f t="shared" si="3"/>
        <v>42.977775276683552</v>
      </c>
      <c r="P7" s="19">
        <f t="shared" si="4"/>
        <v>47.723354460426265</v>
      </c>
      <c r="Q7" s="21">
        <f>(O7*$H$2-$K$2+$L$2)/Inputs!$C$25</f>
        <v>416.85013804340008</v>
      </c>
      <c r="R7" s="21">
        <f>(N7*$F$2-$K$2+$L$2)/Inputs!$C$25</f>
        <v>737.94497802874287</v>
      </c>
      <c r="S7" t="s">
        <v>402</v>
      </c>
      <c r="T7" t="s">
        <v>398</v>
      </c>
    </row>
    <row r="8" spans="1:20" x14ac:dyDescent="0.2">
      <c r="A8" s="2" t="s">
        <v>403</v>
      </c>
      <c r="B8" s="2" t="s">
        <v>385</v>
      </c>
      <c r="C8" s="2" t="s">
        <v>391</v>
      </c>
      <c r="D8" s="21">
        <f>Inputs!$C$132</f>
        <v>375</v>
      </c>
      <c r="E8" s="22">
        <f>Inputs!$C$133</f>
        <v>1490</v>
      </c>
      <c r="F8" s="22">
        <f>Inputs!$C$117</f>
        <v>94.826999999999998</v>
      </c>
      <c r="G8" s="22">
        <f>Inputs!$C$118</f>
        <v>4.3550000000000004</v>
      </c>
      <c r="H8" s="22">
        <f>G8+Inputs!$C$119</f>
        <v>9.3850000000000016</v>
      </c>
      <c r="I8" s="19">
        <f t="shared" si="0"/>
        <v>9.8969702721798669E-2</v>
      </c>
      <c r="J8" s="22">
        <f>Inputs!$C$120</f>
        <v>3.794</v>
      </c>
      <c r="K8" s="22">
        <f>SUM(Inputs!$C$121)</f>
        <v>8.1529999999999987</v>
      </c>
      <c r="L8" s="22">
        <f>SUM(Inputs!$C$122)</f>
        <v>44.058999999999997</v>
      </c>
      <c r="M8" s="22">
        <f t="shared" si="1"/>
        <v>1454.0940000000001</v>
      </c>
      <c r="N8" s="19">
        <f t="shared" si="2"/>
        <v>15.334176974912209</v>
      </c>
      <c r="O8" s="19">
        <f t="shared" si="3"/>
        <v>154.93809270111879</v>
      </c>
      <c r="P8" s="19">
        <f t="shared" si="4"/>
        <v>392.72535582498682</v>
      </c>
      <c r="Q8" s="21">
        <f>(O8*$H$2-$K$2+$L$2)/Inputs!$C$25</f>
        <v>1496.9140691279235</v>
      </c>
      <c r="R8" s="21">
        <f>(N8*$F$2-$K$2+$L$2)/Inputs!$C$25</f>
        <v>427.54941496362375</v>
      </c>
      <c r="S8" t="s">
        <v>392</v>
      </c>
      <c r="T8" t="s">
        <v>396</v>
      </c>
    </row>
    <row r="9" spans="1:20" x14ac:dyDescent="0.2">
      <c r="A9" s="4"/>
      <c r="B9" s="12"/>
      <c r="C9" s="12"/>
    </row>
    <row r="10" spans="1:20" ht="33" customHeight="1" x14ac:dyDescent="0.2">
      <c r="A10" s="26" t="s">
        <v>404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</row>
    <row r="11" spans="1:20" x14ac:dyDescent="0.2">
      <c r="A11" s="4"/>
      <c r="B11" s="15"/>
      <c r="C11" s="15"/>
    </row>
    <row r="12" spans="1:20" x14ac:dyDescent="0.2">
      <c r="A12" s="4"/>
      <c r="B12" s="15"/>
      <c r="C12" s="15"/>
    </row>
    <row r="13" spans="1:20" x14ac:dyDescent="0.2">
      <c r="A13" s="4"/>
      <c r="B13" s="4"/>
      <c r="C13" s="4"/>
    </row>
    <row r="14" spans="1:20" x14ac:dyDescent="0.2">
      <c r="A14" s="4"/>
      <c r="B14" s="12"/>
      <c r="C14" s="12"/>
    </row>
    <row r="15" spans="1:20" x14ac:dyDescent="0.2">
      <c r="A15" s="4"/>
      <c r="B15" s="12"/>
      <c r="C15" s="12"/>
    </row>
    <row r="16" spans="1:20" x14ac:dyDescent="0.2">
      <c r="A16" s="4"/>
      <c r="B16" s="12"/>
      <c r="C16" s="12"/>
    </row>
    <row r="17" spans="1:3" x14ac:dyDescent="0.2">
      <c r="A17" s="4"/>
      <c r="B17" s="12"/>
      <c r="C17" s="4"/>
    </row>
    <row r="18" spans="1:3" x14ac:dyDescent="0.2">
      <c r="A18" s="4"/>
      <c r="B18" s="12"/>
      <c r="C18" s="4"/>
    </row>
  </sheetData>
  <autoFilter ref="A1:T8" xr:uid="{00000000-0009-0000-0000-000003000000}"/>
  <mergeCells count="1">
    <mergeCell ref="A10:T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1" customWidth="1"/>
    <col min="2" max="3" width="18" customWidth="1"/>
    <col min="4" max="4" width="25" customWidth="1"/>
    <col min="5" max="6" width="20" customWidth="1"/>
    <col min="7" max="8" width="14" hidden="1" customWidth="1"/>
    <col min="9" max="9" width="63" customWidth="1"/>
  </cols>
  <sheetData>
    <row r="1" spans="1:9" ht="19" x14ac:dyDescent="0.2">
      <c r="A1" s="1" t="s">
        <v>405</v>
      </c>
      <c r="B1" s="1" t="s">
        <v>406</v>
      </c>
      <c r="C1" s="1" t="s">
        <v>407</v>
      </c>
      <c r="D1" s="1" t="s">
        <v>408</v>
      </c>
      <c r="E1" s="1" t="s">
        <v>409</v>
      </c>
      <c r="F1" s="1" t="s">
        <v>410</v>
      </c>
      <c r="G1" t="s">
        <v>411</v>
      </c>
      <c r="H1" t="s">
        <v>412</v>
      </c>
      <c r="I1" t="s">
        <v>413</v>
      </c>
    </row>
    <row r="2" spans="1:9" x14ac:dyDescent="0.2">
      <c r="A2" s="2" t="s">
        <v>414</v>
      </c>
      <c r="B2" s="23">
        <f>MIN(DCF!B35:D37)</f>
        <v>88.526323994563882</v>
      </c>
      <c r="C2" s="23">
        <f>MAX(DCF!B35:D37)</f>
        <v>124.33195182574279</v>
      </c>
      <c r="D2" s="23">
        <f>Inputs!$C$43</f>
        <v>332.89</v>
      </c>
      <c r="E2" s="23">
        <f>B2-D2</f>
        <v>-244.3636760054361</v>
      </c>
      <c r="F2" s="23">
        <f>C2-D2</f>
        <v>-208.55804817425718</v>
      </c>
      <c r="G2" s="24">
        <f>B2</f>
        <v>88.526323994563882</v>
      </c>
      <c r="H2" s="24">
        <f>C2-B2</f>
        <v>35.80562783117891</v>
      </c>
      <c r="I2" t="s">
        <v>415</v>
      </c>
    </row>
    <row r="3" spans="1:9" x14ac:dyDescent="0.2">
      <c r="A3" s="4" t="s">
        <v>416</v>
      </c>
      <c r="B3" s="25">
        <f>MIN(Comps!Q2,Comps!Q3,Comps!Q4)</f>
        <v>193.81447952087859</v>
      </c>
      <c r="C3" s="25">
        <f>MAX(Comps!Q2,Comps!Q3,Comps!Q4)</f>
        <v>323.76528496376835</v>
      </c>
      <c r="D3" s="25">
        <f>Inputs!$C$43</f>
        <v>332.89</v>
      </c>
      <c r="E3" s="25">
        <f>B3-D3</f>
        <v>-139.07552047912139</v>
      </c>
      <c r="F3" s="25">
        <f>C3-D3</f>
        <v>-9.1247150362316347</v>
      </c>
      <c r="G3" s="24">
        <f>B3</f>
        <v>193.81447952087859</v>
      </c>
      <c r="H3" s="24">
        <f>C3-B3</f>
        <v>129.95080544288976</v>
      </c>
      <c r="I3" t="s">
        <v>417</v>
      </c>
    </row>
    <row r="4" spans="1:9" x14ac:dyDescent="0.2">
      <c r="A4" s="4" t="s">
        <v>418</v>
      </c>
      <c r="B4" s="25">
        <f>MIN(Comps!R2,Comps!R3,Comps!R4)</f>
        <v>285.43236494539053</v>
      </c>
      <c r="C4" s="25">
        <f>MAX(Comps!R2,Comps!R3,Comps!R4)</f>
        <v>324.63006413958448</v>
      </c>
      <c r="D4" s="25">
        <f>Inputs!$C$43</f>
        <v>332.89</v>
      </c>
      <c r="E4" s="25">
        <f>B4-D4</f>
        <v>-47.457635054609455</v>
      </c>
      <c r="F4" s="25">
        <f>C4-D4</f>
        <v>-8.25993586041551</v>
      </c>
      <c r="G4" s="24">
        <f>B4</f>
        <v>285.43236494539053</v>
      </c>
      <c r="H4" s="24">
        <f>C4-B4</f>
        <v>39.197699194193945</v>
      </c>
      <c r="I4" t="s">
        <v>417</v>
      </c>
    </row>
    <row r="5" spans="1:9" x14ac:dyDescent="0.2">
      <c r="A5" s="4" t="s">
        <v>419</v>
      </c>
      <c r="B5" s="25">
        <f>(Inputs!$C$75*Comps!$J$2)/Inputs!$C$25</f>
        <v>219.32157643703167</v>
      </c>
      <c r="C5" s="25">
        <f>(Inputs!$C$75*Comps!$J$2)/Inputs!$C$25</f>
        <v>219.32157643703167</v>
      </c>
      <c r="D5" s="25">
        <f>Inputs!$C$43</f>
        <v>332.89</v>
      </c>
      <c r="E5" s="25">
        <f>B5-D5</f>
        <v>-113.56842356296832</v>
      </c>
      <c r="F5" s="25">
        <f>C5-D5</f>
        <v>-113.56842356296832</v>
      </c>
      <c r="G5" s="24">
        <f>B5</f>
        <v>219.32157643703167</v>
      </c>
      <c r="H5" s="24">
        <f>C5-B5</f>
        <v>0</v>
      </c>
      <c r="I5" t="s">
        <v>420</v>
      </c>
    </row>
    <row r="6" spans="1:9" x14ac:dyDescent="0.2">
      <c r="A6" s="4" t="s">
        <v>421</v>
      </c>
      <c r="B6" s="25">
        <f>LBO!B54</f>
        <v>128.1904816927246</v>
      </c>
      <c r="C6" s="25">
        <f>LBO!B54</f>
        <v>128.1904816927246</v>
      </c>
      <c r="D6" s="25">
        <f>Inputs!$C$43</f>
        <v>332.89</v>
      </c>
      <c r="E6" s="25">
        <f>B6-D6</f>
        <v>-204.69951830727538</v>
      </c>
      <c r="F6" s="25">
        <f>C6-D6</f>
        <v>-204.69951830727538</v>
      </c>
      <c r="G6" s="24">
        <f>B6</f>
        <v>128.1904816927246</v>
      </c>
      <c r="H6" s="24">
        <f>C6-B6</f>
        <v>0</v>
      </c>
      <c r="I6" t="s">
        <v>422</v>
      </c>
    </row>
    <row r="7" spans="1:9" x14ac:dyDescent="0.2">
      <c r="A7" s="4"/>
      <c r="B7" s="17"/>
      <c r="C7" s="17"/>
      <c r="D7" s="17"/>
      <c r="E7" s="17"/>
      <c r="F7" s="17"/>
      <c r="I7" t="s">
        <v>423</v>
      </c>
    </row>
    <row r="8" spans="1:9" ht="68" customHeight="1" x14ac:dyDescent="0.2">
      <c r="A8" s="28" t="s">
        <v>424</v>
      </c>
      <c r="B8" s="27"/>
      <c r="C8" s="27"/>
      <c r="D8" s="27"/>
      <c r="E8" s="27"/>
      <c r="F8" s="27"/>
      <c r="G8" s="27"/>
      <c r="H8" s="27"/>
      <c r="I8" s="27"/>
    </row>
    <row r="9" spans="1:9" x14ac:dyDescent="0.2">
      <c r="A9" s="27"/>
      <c r="B9" s="27"/>
      <c r="C9" s="27"/>
      <c r="D9" s="27"/>
      <c r="E9" s="27"/>
      <c r="F9" s="27"/>
      <c r="G9" s="27"/>
      <c r="H9" s="27"/>
      <c r="I9" s="27"/>
    </row>
    <row r="10" spans="1:9" x14ac:dyDescent="0.2">
      <c r="A10" s="27"/>
      <c r="B10" s="27"/>
      <c r="C10" s="27"/>
      <c r="D10" s="27"/>
      <c r="E10" s="27"/>
      <c r="F10" s="27"/>
      <c r="G10" s="27"/>
      <c r="H10" s="27"/>
      <c r="I10" s="27"/>
    </row>
  </sheetData>
  <mergeCells count="1">
    <mergeCell ref="A8:I10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DCF</vt:lpstr>
      <vt:lpstr>LBO</vt:lpstr>
      <vt:lpstr>Comps</vt:lpstr>
      <vt:lpstr>Football Field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Apple Day 3 DCF and Day 4 LBO Formula Models</dc:title>
  <dc:subject>Editable assumptions and formula-driven DCF, LBO, comps, football field</dc:subject>
  <dc:creator>openpyxl</dc:creator>
  <cp:lastModifiedBy>Emmanuel Kiven (20245334)</cp:lastModifiedBy>
  <dcterms:created xsi:type="dcterms:W3CDTF">2026-10-08T14:10:52Z</dcterms:created>
  <dcterms:modified xsi:type="dcterms:W3CDTF">2026-10-18T22:03:00Z</dcterms:modified>
</cp:coreProperties>
</file>