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DCF" sheetId="2" state="visible" r:id="rId2"/>
    <sheet name="LBO" sheetId="3" state="visible" r:id="rId3"/>
    <sheet name="Comps" sheetId="4" state="visible" r:id="rId4"/>
    <sheet name="Football Field" sheetId="5" state="visible" r:id="rId5"/>
  </sheets>
  <definedNames>
    <definedName name="_xlnm._FilterDatabase" localSheetId="0" hidden="1">'Inputs'!$A$1:$G$81</definedName>
    <definedName name="_xlnm._FilterDatabase" localSheetId="3" hidden="1">'Comps'!$A$1:$T$8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$0.00"/>
    <numFmt numFmtId="165" formatCode="0.00x"/>
    <numFmt numFmtId="166" formatCode="$0.00;[Red]-$0.00"/>
    <numFmt numFmtId="167" formatCode="#,##0.000;[Red](#,##0.000);0.000"/>
    <numFmt numFmtId="168" formatCode="$#,##0.00"/>
    <numFmt numFmtId="169" formatCode="$#,##0.00;[Red]($#,##0.00)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0" fontId="0" fillId="5" borderId="0" applyAlignment="1" pivotButton="0" quotePrefix="0" xfId="0">
      <alignment vertical="center"/>
    </xf>
    <xf numFmtId="10" fontId="0" fillId="6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1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/>
    </xf>
    <xf numFmtId="165" fontId="0" fillId="5" borderId="0" applyAlignment="1" pivotButton="0" quotePrefix="0" xfId="0">
      <alignment vertical="center"/>
    </xf>
    <xf numFmtId="165" fontId="0" fillId="0" borderId="0" pivotButton="0" quotePrefix="0" xfId="0"/>
    <xf numFmtId="167" fontId="2" fillId="4" borderId="0" applyAlignment="1" pivotButton="0" quotePrefix="0" xfId="0">
      <alignment vertical="center"/>
    </xf>
    <xf numFmtId="168" fontId="0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vertical="center" wrapText="1"/>
    </xf>
    <xf numFmtId="169" fontId="2" fillId="3" borderId="0" applyAlignment="1" pivotButton="0" quotePrefix="0" xfId="0">
      <alignment vertical="center"/>
    </xf>
    <xf numFmtId="169" fontId="0" fillId="0" borderId="0" pivotButton="0" quotePrefix="0" xfId="0"/>
    <xf numFmtId="169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Apple implied share value ranges vs. market price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'Football Field'!G1</f>
            </strRef>
          </tx>
          <spPr>
            <a:noFill/>
            <a:ln>
              <a:noFill/>
              <a:prstDash val="solid"/>
            </a:ln>
          </spPr>
          <cat>
            <numRef>
              <f>'Football Field'!$A$2:$A$6</f>
            </numRef>
          </cat>
          <val>
            <numRef>
              <f>'Football Field'!$G$2:$G$6</f>
            </numRef>
          </val>
        </ser>
        <ser>
          <idx val="1"/>
          <order val="1"/>
          <tx>
            <strRef>
              <f>'Football Field'!H1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'Football Field'!$A$2:$A$6</f>
            </numRef>
          </cat>
          <val>
            <numRef>
              <f>'Football Field'!$H$2:$H$6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USD per share</a:t>
                </a:r>
              </a:p>
            </rich>
          </tx>
        </title>
        <numFmt formatCode="$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Method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34" customWidth="1" min="2" max="2"/>
    <col width="20" customWidth="1" min="3" max="3"/>
    <col width="19" customWidth="1" min="4" max="4"/>
    <col width="29" customWidth="1" min="5" max="5"/>
    <col width="78" customWidth="1" min="6" max="6"/>
    <col width="54" customWidth="1" min="7" max="7"/>
  </cols>
  <sheetData>
    <row r="1">
      <c r="A1" s="1" t="inlineStr">
        <is>
          <t>Category</t>
        </is>
      </c>
      <c r="B1" s="1" t="inlineStr">
        <is>
          <t>Input key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Classification</t>
        </is>
      </c>
      <c r="F1" s="1" t="inlineStr">
        <is>
          <t>Exact tag / source</t>
        </is>
      </c>
      <c r="G1" s="1" t="inlineStr">
        <is>
          <t>Accession / source date / note</t>
        </is>
      </c>
    </row>
    <row r="2">
      <c r="A2" s="2" t="inlineStr">
        <is>
          <t>SEC fact</t>
        </is>
      </c>
      <c r="B2" s="2" t="inlineStr">
        <is>
          <t>AAPL_Revenue_FY2023</t>
        </is>
      </c>
      <c r="C2" s="3" t="n">
        <v>383.285</v>
      </c>
      <c r="D2" s="2" t="inlineStr">
        <is>
          <t>USD bn</t>
        </is>
      </c>
      <c r="E2" s="2" t="inlineStr">
        <is>
          <t>Traced SEC fact</t>
        </is>
      </c>
      <c r="F2" s="2" t="inlineStr">
        <is>
          <t>RevenueFromContractWithCustomerExcludingAssessedTax</t>
        </is>
      </c>
      <c r="G2" s="2" t="inlineStr">
        <is>
          <t>0000320193-23-000106</t>
        </is>
      </c>
    </row>
    <row r="3">
      <c r="A3" s="4" t="inlineStr">
        <is>
          <t>SEC fact</t>
        </is>
      </c>
      <c r="B3" s="4" t="inlineStr">
        <is>
          <t>AAPL_EBIT_FY2023</t>
        </is>
      </c>
      <c r="C3" s="5" t="n">
        <v>114.301</v>
      </c>
      <c r="D3" s="4" t="inlineStr">
        <is>
          <t>USD bn</t>
        </is>
      </c>
      <c r="E3" s="4" t="inlineStr">
        <is>
          <t>Traced SEC fact</t>
        </is>
      </c>
      <c r="F3" s="4" t="inlineStr">
        <is>
          <t>OperatingIncomeLoss</t>
        </is>
      </c>
      <c r="G3" s="4" t="inlineStr">
        <is>
          <t>0000320193-23-000106</t>
        </is>
      </c>
    </row>
    <row r="4">
      <c r="A4" s="4" t="inlineStr">
        <is>
          <t>SEC fact</t>
        </is>
      </c>
      <c r="B4" s="4" t="inlineStr">
        <is>
          <t>AAPL_Pretax_FY2023</t>
        </is>
      </c>
      <c r="C4" s="5" t="n">
        <v>113.736</v>
      </c>
      <c r="D4" s="4" t="inlineStr">
        <is>
          <t>USD bn</t>
        </is>
      </c>
      <c r="E4" s="4" t="inlineStr">
        <is>
          <t>Traced SEC fact</t>
        </is>
      </c>
      <c r="F4" s="4" t="inlineStr">
        <is>
          <t>IncomeLossFromContinuingOperationsBeforeIncomeTaxesExtraordinaryItemsNoncontrollingInterest</t>
        </is>
      </c>
      <c r="G4" s="4" t="inlineStr">
        <is>
          <t>0000320193-23-000106</t>
        </is>
      </c>
    </row>
    <row r="5">
      <c r="A5" s="4" t="inlineStr">
        <is>
          <t>SEC fact</t>
        </is>
      </c>
      <c r="B5" s="4" t="inlineStr">
        <is>
          <t>AAPL_Tax_FY2023</t>
        </is>
      </c>
      <c r="C5" s="5" t="n">
        <v>16.741</v>
      </c>
      <c r="D5" s="4" t="inlineStr">
        <is>
          <t>USD bn</t>
        </is>
      </c>
      <c r="E5" s="4" t="inlineStr">
        <is>
          <t>Traced SEC fact</t>
        </is>
      </c>
      <c r="F5" s="4" t="inlineStr">
        <is>
          <t>IncomeTaxExpenseBenefit</t>
        </is>
      </c>
      <c r="G5" s="4" t="inlineStr">
        <is>
          <t>0000320193-23-000106</t>
        </is>
      </c>
    </row>
    <row r="6">
      <c r="A6" s="4" t="inlineStr">
        <is>
          <t>SEC fact</t>
        </is>
      </c>
      <c r="B6" s="4" t="inlineStr">
        <is>
          <t>AAPL_DA_FY2023</t>
        </is>
      </c>
      <c r="C6" s="5" t="n">
        <v>11.519</v>
      </c>
      <c r="D6" s="4" t="inlineStr">
        <is>
          <t>USD bn</t>
        </is>
      </c>
      <c r="E6" s="4" t="inlineStr">
        <is>
          <t>Traced SEC fact</t>
        </is>
      </c>
      <c r="F6" s="4" t="inlineStr">
        <is>
          <t>DepreciationDepletionAndAmortization</t>
        </is>
      </c>
      <c r="G6" s="4" t="inlineStr">
        <is>
          <t>0000320193-23-000106</t>
        </is>
      </c>
    </row>
    <row r="7">
      <c r="A7" s="4" t="inlineStr">
        <is>
          <t>SEC fact</t>
        </is>
      </c>
      <c r="B7" s="4" t="inlineStr">
        <is>
          <t>AAPL_Capex_FY2023</t>
        </is>
      </c>
      <c r="C7" s="5" t="n">
        <v>10.959</v>
      </c>
      <c r="D7" s="4" t="inlineStr">
        <is>
          <t>USD bn</t>
        </is>
      </c>
      <c r="E7" s="4" t="inlineStr">
        <is>
          <t>Traced SEC fact</t>
        </is>
      </c>
      <c r="F7" s="4" t="inlineStr">
        <is>
          <t>PaymentsToAcquirePropertyPlantAndEquipment</t>
        </is>
      </c>
      <c r="G7" s="4" t="inlineStr">
        <is>
          <t>0000320193-23-000106</t>
        </is>
      </c>
    </row>
    <row r="8">
      <c r="A8" s="4" t="inlineStr">
        <is>
          <t>SEC fact</t>
        </is>
      </c>
      <c r="B8" s="4" t="inlineStr">
        <is>
          <t>AAPL_NetIncome_FY2023</t>
        </is>
      </c>
      <c r="C8" s="5" t="n">
        <v>96.995</v>
      </c>
      <c r="D8" s="4" t="inlineStr">
        <is>
          <t>USD bn</t>
        </is>
      </c>
      <c r="E8" s="4" t="inlineStr">
        <is>
          <t>Traced SEC fact</t>
        </is>
      </c>
      <c r="F8" s="4" t="inlineStr">
        <is>
          <t>NetIncomeLoss</t>
        </is>
      </c>
      <c r="G8" s="4" t="inlineStr">
        <is>
          <t>0000320193-23-000106</t>
        </is>
      </c>
    </row>
    <row r="9">
      <c r="A9" s="4" t="inlineStr">
        <is>
          <t>SEC fact</t>
        </is>
      </c>
      <c r="B9" s="4" t="inlineStr">
        <is>
          <t>AAPL_DilutedShares_FY2023</t>
        </is>
      </c>
      <c r="C9" s="5" t="n">
        <v>15.812547</v>
      </c>
      <c r="D9" s="4" t="inlineStr">
        <is>
          <t>shares bn</t>
        </is>
      </c>
      <c r="E9" s="4" t="inlineStr">
        <is>
          <t>Traced SEC fact</t>
        </is>
      </c>
      <c r="F9" s="4" t="inlineStr">
        <is>
          <t>WeightedAverageNumberOfDilutedSharesOutstanding</t>
        </is>
      </c>
      <c r="G9" s="4" t="inlineStr">
        <is>
          <t>0000320193-23-000106</t>
        </is>
      </c>
    </row>
    <row r="10">
      <c r="A10" s="4" t="inlineStr">
        <is>
          <t>SEC fact</t>
        </is>
      </c>
      <c r="B10" s="4" t="inlineStr">
        <is>
          <t>AAPL_Revenue_FY2024</t>
        </is>
      </c>
      <c r="C10" s="5" t="n">
        <v>391.035</v>
      </c>
      <c r="D10" s="4" t="inlineStr">
        <is>
          <t>USD bn</t>
        </is>
      </c>
      <c r="E10" s="4" t="inlineStr">
        <is>
          <t>Traced SEC fact</t>
        </is>
      </c>
      <c r="F10" s="4" t="inlineStr">
        <is>
          <t>RevenueFromContractWithCustomerExcludingAssessedTax</t>
        </is>
      </c>
      <c r="G10" s="4" t="inlineStr">
        <is>
          <t>0000320193-24-000123</t>
        </is>
      </c>
    </row>
    <row r="11">
      <c r="A11" s="4" t="inlineStr">
        <is>
          <t>SEC fact</t>
        </is>
      </c>
      <c r="B11" s="4" t="inlineStr">
        <is>
          <t>AAPL_EBIT_FY2024</t>
        </is>
      </c>
      <c r="C11" s="5" t="n">
        <v>123.216</v>
      </c>
      <c r="D11" s="4" t="inlineStr">
        <is>
          <t>USD bn</t>
        </is>
      </c>
      <c r="E11" s="4" t="inlineStr">
        <is>
          <t>Traced SEC fact</t>
        </is>
      </c>
      <c r="F11" s="4" t="inlineStr">
        <is>
          <t>OperatingIncomeLoss</t>
        </is>
      </c>
      <c r="G11" s="4" t="inlineStr">
        <is>
          <t>0000320193-24-000123</t>
        </is>
      </c>
    </row>
    <row r="12">
      <c r="A12" s="4" t="inlineStr">
        <is>
          <t>SEC fact</t>
        </is>
      </c>
      <c r="B12" s="4" t="inlineStr">
        <is>
          <t>AAPL_Pretax_FY2024</t>
        </is>
      </c>
      <c r="C12" s="5" t="n">
        <v>123.485</v>
      </c>
      <c r="D12" s="4" t="inlineStr">
        <is>
          <t>USD bn</t>
        </is>
      </c>
      <c r="E12" s="4" t="inlineStr">
        <is>
          <t>Traced SEC fact</t>
        </is>
      </c>
      <c r="F12" s="4" t="inlineStr">
        <is>
          <t>IncomeLossFromContinuingOperationsBeforeIncomeTaxesExtraordinaryItemsNoncontrollingInterest</t>
        </is>
      </c>
      <c r="G12" s="4" t="inlineStr">
        <is>
          <t>0000320193-24-000123</t>
        </is>
      </c>
    </row>
    <row r="13">
      <c r="A13" s="4" t="inlineStr">
        <is>
          <t>SEC fact</t>
        </is>
      </c>
      <c r="B13" s="4" t="inlineStr">
        <is>
          <t>AAPL_Tax_FY2024</t>
        </is>
      </c>
      <c r="C13" s="5" t="n">
        <v>29.749</v>
      </c>
      <c r="D13" s="4" t="inlineStr">
        <is>
          <t>USD bn</t>
        </is>
      </c>
      <c r="E13" s="4" t="inlineStr">
        <is>
          <t>Traced SEC fact</t>
        </is>
      </c>
      <c r="F13" s="4" t="inlineStr">
        <is>
          <t>IncomeTaxExpenseBenefit</t>
        </is>
      </c>
      <c r="G13" s="4" t="inlineStr">
        <is>
          <t>0000320193-24-000123</t>
        </is>
      </c>
    </row>
    <row r="14">
      <c r="A14" s="4" t="inlineStr">
        <is>
          <t>SEC fact</t>
        </is>
      </c>
      <c r="B14" s="4" t="inlineStr">
        <is>
          <t>AAPL_DA_FY2024</t>
        </is>
      </c>
      <c r="C14" s="5" t="n">
        <v>11.445</v>
      </c>
      <c r="D14" s="4" t="inlineStr">
        <is>
          <t>USD bn</t>
        </is>
      </c>
      <c r="E14" s="4" t="inlineStr">
        <is>
          <t>Traced SEC fact</t>
        </is>
      </c>
      <c r="F14" s="4" t="inlineStr">
        <is>
          <t>DepreciationDepletionAndAmortization</t>
        </is>
      </c>
      <c r="G14" s="4" t="inlineStr">
        <is>
          <t>0000320193-24-000123</t>
        </is>
      </c>
    </row>
    <row r="15">
      <c r="A15" s="4" t="inlineStr">
        <is>
          <t>SEC fact</t>
        </is>
      </c>
      <c r="B15" s="4" t="inlineStr">
        <is>
          <t>AAPL_Capex_FY2024</t>
        </is>
      </c>
      <c r="C15" s="5" t="n">
        <v>9.446999999999999</v>
      </c>
      <c r="D15" s="4" t="inlineStr">
        <is>
          <t>USD bn</t>
        </is>
      </c>
      <c r="E15" s="4" t="inlineStr">
        <is>
          <t>Traced SEC fact</t>
        </is>
      </c>
      <c r="F15" s="4" t="inlineStr">
        <is>
          <t>PaymentsToAcquirePropertyPlantAndEquipment</t>
        </is>
      </c>
      <c r="G15" s="4" t="inlineStr">
        <is>
          <t>0000320193-24-000123</t>
        </is>
      </c>
    </row>
    <row r="16">
      <c r="A16" s="4" t="inlineStr">
        <is>
          <t>SEC fact</t>
        </is>
      </c>
      <c r="B16" s="4" t="inlineStr">
        <is>
          <t>AAPL_NetIncome_FY2024</t>
        </is>
      </c>
      <c r="C16" s="5" t="n">
        <v>93.736</v>
      </c>
      <c r="D16" s="4" t="inlineStr">
        <is>
          <t>USD bn</t>
        </is>
      </c>
      <c r="E16" s="4" t="inlineStr">
        <is>
          <t>Traced SEC fact</t>
        </is>
      </c>
      <c r="F16" s="4" t="inlineStr">
        <is>
          <t>NetIncomeLoss</t>
        </is>
      </c>
      <c r="G16" s="4" t="inlineStr">
        <is>
          <t>0000320193-24-000123</t>
        </is>
      </c>
    </row>
    <row r="17">
      <c r="A17" s="4" t="inlineStr">
        <is>
          <t>SEC fact</t>
        </is>
      </c>
      <c r="B17" s="4" t="inlineStr">
        <is>
          <t>AAPL_DilutedShares_FY2024</t>
        </is>
      </c>
      <c r="C17" s="5" t="n">
        <v>15.408095</v>
      </c>
      <c r="D17" s="4" t="inlineStr">
        <is>
          <t>shares bn</t>
        </is>
      </c>
      <c r="E17" s="4" t="inlineStr">
        <is>
          <t>Traced SEC fact</t>
        </is>
      </c>
      <c r="F17" s="4" t="inlineStr">
        <is>
          <t>WeightedAverageNumberOfDilutedSharesOutstanding</t>
        </is>
      </c>
      <c r="G17" s="4" t="inlineStr">
        <is>
          <t>0000320193-24-000123</t>
        </is>
      </c>
    </row>
    <row r="18">
      <c r="A18" s="4" t="inlineStr">
        <is>
          <t>SEC fact</t>
        </is>
      </c>
      <c r="B18" s="4" t="inlineStr">
        <is>
          <t>AAPL_Revenue_FY2025</t>
        </is>
      </c>
      <c r="C18" s="5" t="n">
        <v>416.161</v>
      </c>
      <c r="D18" s="4" t="inlineStr">
        <is>
          <t>USD bn</t>
        </is>
      </c>
      <c r="E18" s="4" t="inlineStr">
        <is>
          <t>Traced SEC fact</t>
        </is>
      </c>
      <c r="F18" s="4" t="inlineStr">
        <is>
          <t>RevenueFromContractWithCustomerExcludingAssessedTax</t>
        </is>
      </c>
      <c r="G18" s="4" t="inlineStr">
        <is>
          <t>0000320193-25-000079</t>
        </is>
      </c>
    </row>
    <row r="19">
      <c r="A19" s="4" t="inlineStr">
        <is>
          <t>SEC fact</t>
        </is>
      </c>
      <c r="B19" s="4" t="inlineStr">
        <is>
          <t>AAPL_EBIT_FY2025</t>
        </is>
      </c>
      <c r="C19" s="5" t="n">
        <v>133.05</v>
      </c>
      <c r="D19" s="4" t="inlineStr">
        <is>
          <t>USD bn</t>
        </is>
      </c>
      <c r="E19" s="4" t="inlineStr">
        <is>
          <t>Traced SEC fact</t>
        </is>
      </c>
      <c r="F19" s="4" t="inlineStr">
        <is>
          <t>OperatingIncomeLoss</t>
        </is>
      </c>
      <c r="G19" s="4" t="inlineStr">
        <is>
          <t>0000320193-25-000079</t>
        </is>
      </c>
    </row>
    <row r="20">
      <c r="A20" s="4" t="inlineStr">
        <is>
          <t>SEC fact</t>
        </is>
      </c>
      <c r="B20" s="4" t="inlineStr">
        <is>
          <t>AAPL_Pretax_FY2025</t>
        </is>
      </c>
      <c r="C20" s="5" t="n">
        <v>132.729</v>
      </c>
      <c r="D20" s="4" t="inlineStr">
        <is>
          <t>USD bn</t>
        </is>
      </c>
      <c r="E20" s="4" t="inlineStr">
        <is>
          <t>Traced SEC fact</t>
        </is>
      </c>
      <c r="F20" s="4" t="inlineStr">
        <is>
          <t>IncomeLossFromContinuingOperationsBeforeIncomeTaxesExtraordinaryItemsNoncontrollingInterest</t>
        </is>
      </c>
      <c r="G20" s="4" t="inlineStr">
        <is>
          <t>0000320193-25-000079</t>
        </is>
      </c>
    </row>
    <row r="21">
      <c r="A21" s="4" t="inlineStr">
        <is>
          <t>SEC fact</t>
        </is>
      </c>
      <c r="B21" s="4" t="inlineStr">
        <is>
          <t>AAPL_Tax_FY2025</t>
        </is>
      </c>
      <c r="C21" s="5" t="n">
        <v>20.719</v>
      </c>
      <c r="D21" s="4" t="inlineStr">
        <is>
          <t>USD bn</t>
        </is>
      </c>
      <c r="E21" s="4" t="inlineStr">
        <is>
          <t>Traced SEC fact</t>
        </is>
      </c>
      <c r="F21" s="4" t="inlineStr">
        <is>
          <t>IncomeTaxExpenseBenefit</t>
        </is>
      </c>
      <c r="G21" s="4" t="inlineStr">
        <is>
          <t>0000320193-25-000079</t>
        </is>
      </c>
    </row>
    <row r="22">
      <c r="A22" s="4" t="inlineStr">
        <is>
          <t>SEC fact</t>
        </is>
      </c>
      <c r="B22" s="4" t="inlineStr">
        <is>
          <t>AAPL_DA_FY2025</t>
        </is>
      </c>
      <c r="C22" s="5" t="n">
        <v>11.698</v>
      </c>
      <c r="D22" s="4" t="inlineStr">
        <is>
          <t>USD bn</t>
        </is>
      </c>
      <c r="E22" s="4" t="inlineStr">
        <is>
          <t>Traced SEC fact</t>
        </is>
      </c>
      <c r="F22" s="4" t="inlineStr">
        <is>
          <t>DepreciationDepletionAndAmortization</t>
        </is>
      </c>
      <c r="G22" s="4" t="inlineStr">
        <is>
          <t>0000320193-25-000079</t>
        </is>
      </c>
    </row>
    <row r="23">
      <c r="A23" s="4" t="inlineStr">
        <is>
          <t>SEC fact</t>
        </is>
      </c>
      <c r="B23" s="4" t="inlineStr">
        <is>
          <t>AAPL_Capex_FY2025</t>
        </is>
      </c>
      <c r="C23" s="5" t="n">
        <v>12.715</v>
      </c>
      <c r="D23" s="4" t="inlineStr">
        <is>
          <t>USD bn</t>
        </is>
      </c>
      <c r="E23" s="4" t="inlineStr">
        <is>
          <t>Traced SEC fact</t>
        </is>
      </c>
      <c r="F23" s="4" t="inlineStr">
        <is>
          <t>PaymentsToAcquirePropertyPlantAndEquipment</t>
        </is>
      </c>
      <c r="G23" s="4" t="inlineStr">
        <is>
          <t>0000320193-25-000079</t>
        </is>
      </c>
    </row>
    <row r="24">
      <c r="A24" s="4" t="inlineStr">
        <is>
          <t>SEC fact</t>
        </is>
      </c>
      <c r="B24" s="4" t="inlineStr">
        <is>
          <t>AAPL_NetIncome_FY2025</t>
        </is>
      </c>
      <c r="C24" s="5" t="n">
        <v>112.01</v>
      </c>
      <c r="D24" s="4" t="inlineStr">
        <is>
          <t>USD bn</t>
        </is>
      </c>
      <c r="E24" s="4" t="inlineStr">
        <is>
          <t>Traced SEC fact</t>
        </is>
      </c>
      <c r="F24" s="4" t="inlineStr">
        <is>
          <t>NetIncomeLoss</t>
        </is>
      </c>
      <c r="G24" s="4" t="inlineStr">
        <is>
          <t>0000320193-25-000079</t>
        </is>
      </c>
    </row>
    <row r="25">
      <c r="A25" s="4" t="inlineStr">
        <is>
          <t>SEC fact</t>
        </is>
      </c>
      <c r="B25" s="4" t="inlineStr">
        <is>
          <t>AAPL_DilutedShares_FY2025</t>
        </is>
      </c>
      <c r="C25" s="5" t="n">
        <v>15.004697</v>
      </c>
      <c r="D25" s="4" t="inlineStr">
        <is>
          <t>shares bn</t>
        </is>
      </c>
      <c r="E25" s="4" t="inlineStr">
        <is>
          <t>Traced SEC fact</t>
        </is>
      </c>
      <c r="F25" s="4" t="inlineStr">
        <is>
          <t>WeightedAverageNumberOfDilutedSharesOutstanding</t>
        </is>
      </c>
      <c r="G25" s="4" t="inlineStr">
        <is>
          <t>0000320193-25-000079</t>
        </is>
      </c>
    </row>
    <row r="26">
      <c r="A26" s="4" t="inlineStr">
        <is>
          <t>SEC fact</t>
        </is>
      </c>
      <c r="B26" s="4" t="inlineStr">
        <is>
          <t>AAPL_Cash_FY2025</t>
        </is>
      </c>
      <c r="C26" s="5" t="n">
        <v>35.934</v>
      </c>
      <c r="D26" s="4" t="inlineStr">
        <is>
          <t>USD bn</t>
        </is>
      </c>
      <c r="E26" s="4" t="inlineStr">
        <is>
          <t>Traced SEC fact</t>
        </is>
      </c>
      <c r="F26" s="4" t="inlineStr">
        <is>
          <t>CashAndCashEquivalentsAtCarryingValue</t>
        </is>
      </c>
      <c r="G26" s="4" t="inlineStr">
        <is>
          <t>0000320193-25-000079</t>
        </is>
      </c>
    </row>
    <row r="27">
      <c r="A27" s="4" t="inlineStr">
        <is>
          <t>SEC fact</t>
        </is>
      </c>
      <c r="B27" s="4" t="inlineStr">
        <is>
          <t>AAPL_MarketableCurrent_FY2025</t>
        </is>
      </c>
      <c r="C27" s="5" t="n">
        <v>18.763</v>
      </c>
      <c r="D27" s="4" t="inlineStr">
        <is>
          <t>USD bn</t>
        </is>
      </c>
      <c r="E27" s="4" t="inlineStr">
        <is>
          <t>Traced SEC fact</t>
        </is>
      </c>
      <c r="F27" s="4" t="inlineStr">
        <is>
          <t>MarketableSecuritiesCurrent</t>
        </is>
      </c>
      <c r="G27" s="4" t="inlineStr">
        <is>
          <t>0000320193-25-000079</t>
        </is>
      </c>
    </row>
    <row r="28">
      <c r="A28" s="4" t="inlineStr">
        <is>
          <t>SEC fact</t>
        </is>
      </c>
      <c r="B28" s="4" t="inlineStr">
        <is>
          <t>AAPL_MarketableNoncurrent_FY2025</t>
        </is>
      </c>
      <c r="C28" s="5" t="n">
        <v>77.723</v>
      </c>
      <c r="D28" s="4" t="inlineStr">
        <is>
          <t>USD bn</t>
        </is>
      </c>
      <c r="E28" s="4" t="inlineStr">
        <is>
          <t>Traced SEC fact</t>
        </is>
      </c>
      <c r="F28" s="4" t="inlineStr">
        <is>
          <t>MarketableSecuritiesNoncurrent</t>
        </is>
      </c>
      <c r="G28" s="4" t="inlineStr">
        <is>
          <t>0000320193-25-000079</t>
        </is>
      </c>
    </row>
    <row r="29">
      <c r="A29" s="4" t="inlineStr">
        <is>
          <t>SEC fact</t>
        </is>
      </c>
      <c r="B29" s="4" t="inlineStr">
        <is>
          <t>AAPL_DebtCurrent_FY2025</t>
        </is>
      </c>
      <c r="C29" s="5" t="n">
        <v>12.35</v>
      </c>
      <c r="D29" s="4" t="inlineStr">
        <is>
          <t>USD bn</t>
        </is>
      </c>
      <c r="E29" s="4" t="inlineStr">
        <is>
          <t>Traced SEC fact</t>
        </is>
      </c>
      <c r="F29" s="4" t="inlineStr">
        <is>
          <t>LongTermDebtCurrent</t>
        </is>
      </c>
      <c r="G29" s="4" t="inlineStr">
        <is>
          <t>0000320193-25-000079</t>
        </is>
      </c>
    </row>
    <row r="30">
      <c r="A30" s="4" t="inlineStr">
        <is>
          <t>SEC fact</t>
        </is>
      </c>
      <c r="B30" s="4" t="inlineStr">
        <is>
          <t>AAPL_CommercialPaper_FY2025</t>
        </is>
      </c>
      <c r="C30" s="5" t="n">
        <v>7.979</v>
      </c>
      <c r="D30" s="4" t="inlineStr">
        <is>
          <t>USD bn</t>
        </is>
      </c>
      <c r="E30" s="4" t="inlineStr">
        <is>
          <t>Traced SEC fact</t>
        </is>
      </c>
      <c r="F30" s="4" t="inlineStr">
        <is>
          <t>CommercialPaper</t>
        </is>
      </c>
      <c r="G30" s="4" t="inlineStr">
        <is>
          <t>0000320193-25-000079</t>
        </is>
      </c>
    </row>
    <row r="31">
      <c r="A31" s="4" t="inlineStr">
        <is>
          <t>SEC fact</t>
        </is>
      </c>
      <c r="B31" s="4" t="inlineStr">
        <is>
          <t>AAPL_DebtNoncurrent_FY2025</t>
        </is>
      </c>
      <c r="C31" s="5" t="n">
        <v>78.328</v>
      </c>
      <c r="D31" s="4" t="inlineStr">
        <is>
          <t>USD bn</t>
        </is>
      </c>
      <c r="E31" s="4" t="inlineStr">
        <is>
          <t>Traced SEC fact</t>
        </is>
      </c>
      <c r="F31" s="4" t="inlineStr">
        <is>
          <t>LongTermDebtNoncurrent</t>
        </is>
      </c>
      <c r="G31" s="4" t="inlineStr">
        <is>
          <t>0000320193-25-000079</t>
        </is>
      </c>
    </row>
    <row r="32">
      <c r="A32" s="4" t="inlineStr">
        <is>
          <t>SEC fact</t>
        </is>
      </c>
      <c r="B32" s="4" t="inlineStr">
        <is>
          <t>AAPL_AssetsCurrent_FY2025</t>
        </is>
      </c>
      <c r="C32" s="5" t="n">
        <v>147.957</v>
      </c>
      <c r="D32" s="4" t="inlineStr">
        <is>
          <t>USD bn</t>
        </is>
      </c>
      <c r="E32" s="4" t="inlineStr">
        <is>
          <t>Traced SEC fact</t>
        </is>
      </c>
      <c r="F32" s="4" t="inlineStr">
        <is>
          <t>AssetsCurrent</t>
        </is>
      </c>
      <c r="G32" s="4" t="inlineStr">
        <is>
          <t>0000320193-25-000079</t>
        </is>
      </c>
    </row>
    <row r="33">
      <c r="A33" s="4" t="inlineStr">
        <is>
          <t>SEC fact</t>
        </is>
      </c>
      <c r="B33" s="4" t="inlineStr">
        <is>
          <t>AAPL_LiabilitiesCurrent_FY2025</t>
        </is>
      </c>
      <c r="C33" s="5" t="n">
        <v>165.631</v>
      </c>
      <c r="D33" s="4" t="inlineStr">
        <is>
          <t>USD bn</t>
        </is>
      </c>
      <c r="E33" s="4" t="inlineStr">
        <is>
          <t>Traced SEC fact</t>
        </is>
      </c>
      <c r="F33" s="4" t="inlineStr">
        <is>
          <t>LiabilitiesCurrent</t>
        </is>
      </c>
      <c r="G33" s="4" t="inlineStr">
        <is>
          <t>0000320193-25-000079</t>
        </is>
      </c>
    </row>
    <row r="34">
      <c r="A34" s="4" t="inlineStr">
        <is>
          <t>SEC fact</t>
        </is>
      </c>
      <c r="B34" s="4" t="inlineStr">
        <is>
          <t>MSFT_Revenue_FY2026</t>
        </is>
      </c>
      <c r="C34" s="5" t="n">
        <v>331.839</v>
      </c>
      <c r="D34" s="4" t="inlineStr">
        <is>
          <t>USD bn</t>
        </is>
      </c>
      <c r="E34" s="4" t="inlineStr">
        <is>
          <t>Traced SEC fact</t>
        </is>
      </c>
      <c r="F34" s="4" t="inlineStr">
        <is>
          <t>RevenueFromContractWithCustomerExcludingAssessedTax</t>
        </is>
      </c>
      <c r="G34" s="4" t="inlineStr">
        <is>
          <t>0001193125-26-323660</t>
        </is>
      </c>
    </row>
    <row r="35">
      <c r="A35" s="4" t="inlineStr">
        <is>
          <t>SEC fact</t>
        </is>
      </c>
      <c r="B35" s="4" t="inlineStr">
        <is>
          <t>MSFT_EBIT_FY2026</t>
        </is>
      </c>
      <c r="C35" s="5" t="n">
        <v>155.237</v>
      </c>
      <c r="D35" s="4" t="inlineStr">
        <is>
          <t>USD bn</t>
        </is>
      </c>
      <c r="E35" s="4" t="inlineStr">
        <is>
          <t>Traced SEC fact</t>
        </is>
      </c>
      <c r="F35" s="4" t="inlineStr">
        <is>
          <t>OperatingIncomeLoss</t>
        </is>
      </c>
      <c r="G35" s="4" t="inlineStr">
        <is>
          <t>0001193125-26-323660</t>
        </is>
      </c>
    </row>
    <row r="36">
      <c r="A36" s="4" t="inlineStr">
        <is>
          <t>SEC fact</t>
        </is>
      </c>
      <c r="B36" s="4" t="inlineStr">
        <is>
          <t>MSFT_NetIncome_FY2026</t>
        </is>
      </c>
      <c r="C36" s="5" t="n">
        <v>133.749</v>
      </c>
      <c r="D36" s="4" t="inlineStr">
        <is>
          <t>USD bn</t>
        </is>
      </c>
      <c r="E36" s="4" t="inlineStr">
        <is>
          <t>Traced SEC fact</t>
        </is>
      </c>
      <c r="F36" s="4" t="inlineStr">
        <is>
          <t>NetIncomeLoss</t>
        </is>
      </c>
      <c r="G36" s="4" t="inlineStr">
        <is>
          <t>0001193125-26-323660</t>
        </is>
      </c>
    </row>
    <row r="37">
      <c r="A37" s="4" t="inlineStr">
        <is>
          <t>SEC fact</t>
        </is>
      </c>
      <c r="B37" s="4" t="inlineStr">
        <is>
          <t>MSFT_Depreciation_FY2026</t>
        </is>
      </c>
      <c r="C37" s="5" t="n">
        <v>34.3</v>
      </c>
      <c r="D37" s="4" t="inlineStr">
        <is>
          <t>USD bn</t>
        </is>
      </c>
      <c r="E37" s="4" t="inlineStr">
        <is>
          <t>Traced SEC fact</t>
        </is>
      </c>
      <c r="F37" s="4" t="inlineStr">
        <is>
          <t>Depreciation</t>
        </is>
      </c>
      <c r="G37" s="4" t="inlineStr">
        <is>
          <t>0001193125-26-323660</t>
        </is>
      </c>
    </row>
    <row r="38">
      <c r="A38" s="4" t="inlineStr">
        <is>
          <t>SEC fact</t>
        </is>
      </c>
      <c r="B38" s="4" t="inlineStr">
        <is>
          <t>MSFT_IntangibleAmortization_FY2026</t>
        </is>
      </c>
      <c r="C38" s="5" t="n">
        <v>4.7</v>
      </c>
      <c r="D38" s="4" t="inlineStr">
        <is>
          <t>USD bn</t>
        </is>
      </c>
      <c r="E38" s="4" t="inlineStr">
        <is>
          <t>Traced SEC fact</t>
        </is>
      </c>
      <c r="F38" s="4" t="inlineStr">
        <is>
          <t>AmortizationOfIntangibleAssets</t>
        </is>
      </c>
      <c r="G38" s="4" t="inlineStr">
        <is>
          <t>0001193125-26-323660</t>
        </is>
      </c>
    </row>
    <row r="39">
      <c r="A39" s="4" t="inlineStr">
        <is>
          <t>SEC fact</t>
        </is>
      </c>
      <c r="B39" s="4" t="inlineStr">
        <is>
          <t>MSFT_Cash_FY2026</t>
        </is>
      </c>
      <c r="C39" s="5" t="n">
        <v>20.935</v>
      </c>
      <c r="D39" s="4" t="inlineStr">
        <is>
          <t>USD bn</t>
        </is>
      </c>
      <c r="E39" s="4" t="inlineStr">
        <is>
          <t>Traced SEC fact</t>
        </is>
      </c>
      <c r="F39" s="4" t="inlineStr">
        <is>
          <t>CashAndCashEquivalentsAtCarryingValue</t>
        </is>
      </c>
      <c r="G39" s="4" t="inlineStr">
        <is>
          <t>0001193125-26-323660</t>
        </is>
      </c>
    </row>
    <row r="40">
      <c r="A40" s="4" t="inlineStr">
        <is>
          <t>SEC fact</t>
        </is>
      </c>
      <c r="B40" s="4" t="inlineStr">
        <is>
          <t>MSFT_ShortInvestments_FY2026</t>
        </is>
      </c>
      <c r="C40" s="5" t="n">
        <v>55.908</v>
      </c>
      <c r="D40" s="4" t="inlineStr">
        <is>
          <t>USD bn</t>
        </is>
      </c>
      <c r="E40" s="4" t="inlineStr">
        <is>
          <t>Traced SEC fact</t>
        </is>
      </c>
      <c r="F40" s="4" t="inlineStr">
        <is>
          <t>ShortTermInvestments</t>
        </is>
      </c>
      <c r="G40" s="4" t="inlineStr">
        <is>
          <t>0001193125-26-323660</t>
        </is>
      </c>
    </row>
    <row r="41">
      <c r="A41" s="4" t="inlineStr">
        <is>
          <t>SEC fact</t>
        </is>
      </c>
      <c r="B41" s="4" t="inlineStr">
        <is>
          <t>MSFT_LongInvestments_FY2026</t>
        </is>
      </c>
      <c r="C41" s="5" t="n">
        <v>36.348</v>
      </c>
      <c r="D41" s="4" t="inlineStr">
        <is>
          <t>USD bn</t>
        </is>
      </c>
      <c r="E41" s="4" t="inlineStr">
        <is>
          <t>Traced SEC fact</t>
        </is>
      </c>
      <c r="F41" s="4" t="inlineStr">
        <is>
          <t>LongTermInvestments</t>
        </is>
      </c>
      <c r="G41" s="4" t="inlineStr">
        <is>
          <t>0001193125-26-323660</t>
        </is>
      </c>
    </row>
    <row r="42">
      <c r="A42" s="4" t="inlineStr">
        <is>
          <t>SEC fact</t>
        </is>
      </c>
      <c r="B42" s="4" t="inlineStr">
        <is>
          <t>MSFT_Debt_FY2026</t>
        </is>
      </c>
      <c r="C42" s="5" t="n">
        <v>40.294</v>
      </c>
      <c r="D42" s="4" t="inlineStr">
        <is>
          <t>USD bn</t>
        </is>
      </c>
      <c r="E42" s="4" t="inlineStr">
        <is>
          <t>Traced SEC fact</t>
        </is>
      </c>
      <c r="F42" s="4" t="inlineStr">
        <is>
          <t>LongTermDebt</t>
        </is>
      </c>
      <c r="G42" s="4" t="inlineStr">
        <is>
          <t>0001193125-26-323660</t>
        </is>
      </c>
    </row>
    <row r="43">
      <c r="A43" s="4" t="inlineStr">
        <is>
          <t>External market input</t>
        </is>
      </c>
      <c r="B43" s="4" t="inlineStr">
        <is>
          <t>AAPL_SharePrice</t>
        </is>
      </c>
      <c r="C43" s="6" t="n">
        <v>332.89</v>
      </c>
      <c r="D43" s="4" t="inlineStr">
        <is>
          <t>USD/share</t>
        </is>
      </c>
      <c r="E43" s="4" t="inlineStr">
        <is>
          <t>External; not SEC fact</t>
        </is>
      </c>
      <c r="F43" s="4" t="inlineStr">
        <is>
          <t>User supplied Apple close</t>
        </is>
      </c>
      <c r="G43" s="4" t="inlineStr">
        <is>
          <t>2026-10-05</t>
        </is>
      </c>
    </row>
    <row r="44">
      <c r="A44" s="4" t="inlineStr">
        <is>
          <t>External market input</t>
        </is>
      </c>
      <c r="B44" s="4" t="inlineStr">
        <is>
          <t>AAPL_MarketCap</t>
        </is>
      </c>
      <c r="C44" s="6" t="n">
        <v>4858</v>
      </c>
      <c r="D44" s="4" t="inlineStr">
        <is>
          <t>USD bn</t>
        </is>
      </c>
      <c r="E44" s="4" t="inlineStr">
        <is>
          <t>External; not SEC fact</t>
        </is>
      </c>
      <c r="F44" s="4" t="inlineStr">
        <is>
          <t>User supplied Apple market cap</t>
        </is>
      </c>
      <c r="G44" s="4" t="inlineStr">
        <is>
          <t>2026-10-05</t>
        </is>
      </c>
    </row>
    <row r="45">
      <c r="A45" s="4" t="inlineStr">
        <is>
          <t>External market input</t>
        </is>
      </c>
      <c r="B45" s="4" t="inlineStr">
        <is>
          <t>MSFT_SharePrice</t>
        </is>
      </c>
      <c r="C45" s="6" t="n">
        <v>529.76</v>
      </c>
      <c r="D45" s="4" t="inlineStr">
        <is>
          <t>USD/share</t>
        </is>
      </c>
      <c r="E45" s="4" t="inlineStr">
        <is>
          <t>External; not SEC fact</t>
        </is>
      </c>
      <c r="F45" s="4" t="inlineStr">
        <is>
          <t>User supplied Microsoft close</t>
        </is>
      </c>
      <c r="G45" s="4" t="inlineStr">
        <is>
          <t>2026-10-07</t>
        </is>
      </c>
    </row>
    <row r="46">
      <c r="A46" s="4" t="inlineStr">
        <is>
          <t>External market input</t>
        </is>
      </c>
      <c r="B46" s="4" t="inlineStr">
        <is>
          <t>MSFT_MarketCap</t>
        </is>
      </c>
      <c r="C46" s="6" t="n">
        <v>3930</v>
      </c>
      <c r="D46" s="4" t="inlineStr">
        <is>
          <t>USD bn</t>
        </is>
      </c>
      <c r="E46" s="4" t="inlineStr">
        <is>
          <t>External; not SEC fact</t>
        </is>
      </c>
      <c r="F46" s="4" t="inlineStr">
        <is>
          <t>User supplied Microsoft market cap</t>
        </is>
      </c>
      <c r="G46" s="4" t="inlineStr">
        <is>
          <t>2026-10-07</t>
        </is>
      </c>
    </row>
    <row r="47">
      <c r="A47" s="4" t="inlineStr">
        <is>
          <t>External market input</t>
        </is>
      </c>
      <c r="B47" s="4" t="inlineStr">
        <is>
          <t>RiskFreeRate</t>
        </is>
      </c>
      <c r="C47" s="7" t="n">
        <v>0.0527</v>
      </c>
      <c r="D47" s="4" t="inlineStr">
        <is>
          <t>%</t>
        </is>
      </c>
      <c r="E47" s="4" t="inlineStr">
        <is>
          <t>External; not SEC fact</t>
        </is>
      </c>
      <c r="F47" s="4" t="inlineStr">
        <is>
          <t>10-year US Treasury yield, user supplied</t>
        </is>
      </c>
      <c r="G47" s="4" t="inlineStr">
        <is>
          <t>2026-10-06</t>
        </is>
      </c>
    </row>
    <row r="48">
      <c r="A48" s="4" t="inlineStr">
        <is>
          <t>External market input</t>
        </is>
      </c>
      <c r="B48" s="4" t="inlineStr">
        <is>
          <t>AAPL_Beta</t>
        </is>
      </c>
      <c r="C48" s="18" t="n">
        <v>1.07</v>
      </c>
      <c r="D48" s="4" t="inlineStr">
        <is>
          <t>x</t>
        </is>
      </c>
      <c r="E48" s="4" t="inlineStr">
        <is>
          <t>External; not SEC fact</t>
        </is>
      </c>
      <c r="F48" s="4" t="inlineStr">
        <is>
          <t>5-year monthly levered beta, user supplied</t>
        </is>
      </c>
      <c r="G48" s="4" t="inlineStr">
        <is>
          <t>user supplied</t>
        </is>
      </c>
    </row>
    <row r="49">
      <c r="A49" s="4" t="inlineStr">
        <is>
          <t>Assumption</t>
        </is>
      </c>
      <c r="B49" s="4" t="inlineStr">
        <is>
          <t>EquityRiskPremium</t>
        </is>
      </c>
      <c r="C49" s="8" t="n">
        <v>0.05</v>
      </c>
      <c r="D49" s="4" t="inlineStr">
        <is>
          <t>%</t>
        </is>
      </c>
      <c r="E49" s="4" t="inlineStr">
        <is>
          <t>Judgment-call assumption</t>
        </is>
      </c>
      <c r="F49" s="4" t="inlineStr">
        <is>
          <t>Practitioner assumption, not market quote</t>
        </is>
      </c>
      <c r="G49" s="4" t="inlineStr">
        <is>
          <t>User supplied</t>
        </is>
      </c>
    </row>
    <row r="50">
      <c r="A50" s="4" t="inlineStr">
        <is>
          <t>Assumption</t>
        </is>
      </c>
      <c r="B50" s="4" t="inlineStr">
        <is>
          <t>Day3_CostDebtSpread</t>
        </is>
      </c>
      <c r="C50" s="8" t="n">
        <v>0.0075</v>
      </c>
      <c r="D50" s="4" t="inlineStr">
        <is>
          <t>%</t>
        </is>
      </c>
      <c r="E50" s="4" t="inlineStr">
        <is>
          <t>Proposed judgment call</t>
        </is>
      </c>
      <c r="F50" s="4" t="inlineStr">
        <is>
          <t>Investment-grade spread over risk-free rate</t>
        </is>
      </c>
      <c r="G50" s="4" t="inlineStr">
        <is>
          <t>Review pending</t>
        </is>
      </c>
    </row>
    <row r="51">
      <c r="A51" s="4" t="inlineStr">
        <is>
          <t>Assumption</t>
        </is>
      </c>
      <c r="B51" s="4" t="inlineStr">
        <is>
          <t>ForwardTaxRate</t>
        </is>
      </c>
      <c r="C51" s="8" t="n">
        <v>0.1516458828181145</v>
      </c>
      <c r="D51" s="4" t="inlineStr">
        <is>
          <t>%</t>
        </is>
      </c>
      <c r="E51" s="4" t="inlineStr">
        <is>
          <t>Derived modeling assumption</t>
        </is>
      </c>
      <c r="F51" s="4" t="inlineStr">
        <is>
          <t>Average FY2023 and FY2025 effective tax rates; excludes FY2024 one-time EU State Aid charge</t>
        </is>
      </c>
      <c r="G51" s="4" t="inlineStr">
        <is>
          <t>Review pending</t>
        </is>
      </c>
    </row>
    <row r="52">
      <c r="A52" s="4" t="inlineStr">
        <is>
          <t>Assumption</t>
        </is>
      </c>
      <c r="B52" s="4" t="inlineStr">
        <is>
          <t>DCF_TerminalGrowth</t>
        </is>
      </c>
      <c r="C52" s="8" t="n">
        <v>0.025</v>
      </c>
      <c r="D52" s="4" t="inlineStr">
        <is>
          <t>%</t>
        </is>
      </c>
      <c r="E52" s="4" t="inlineStr">
        <is>
          <t>Proposed modeling assumption</t>
        </is>
      </c>
      <c r="F52" s="4" t="inlineStr">
        <is>
          <t>Long-run nominal inflation anchor plus modest real growth</t>
        </is>
      </c>
      <c r="G52" s="4" t="inlineStr">
        <is>
          <t>Review pending</t>
        </is>
      </c>
    </row>
    <row r="53">
      <c r="A53" s="4" t="inlineStr">
        <is>
          <t>Assumption</t>
        </is>
      </c>
      <c r="B53" s="4" t="inlineStr">
        <is>
          <t>DCF_EBITMargin</t>
        </is>
      </c>
      <c r="C53" s="8" t="n">
        <v>0.315</v>
      </c>
      <c r="D53" s="4" t="inlineStr">
        <is>
          <t>%</t>
        </is>
      </c>
      <c r="E53" s="4" t="inlineStr">
        <is>
          <t>Proposed modeling assumption</t>
        </is>
      </c>
      <c r="F53" s="4" t="inlineStr">
        <is>
          <t>Based on FY2023-FY2025 margins</t>
        </is>
      </c>
      <c r="G53" s="4" t="inlineStr">
        <is>
          <t>Review pending</t>
        </is>
      </c>
    </row>
    <row r="54">
      <c r="A54" s="4" t="inlineStr">
        <is>
          <t>Assumption</t>
        </is>
      </c>
      <c r="B54" s="4" t="inlineStr">
        <is>
          <t>DCF_DAPctRevenue</t>
        </is>
      </c>
      <c r="C54" s="8" t="n">
        <v>0.029</v>
      </c>
      <c r="D54" s="4" t="inlineStr">
        <is>
          <t>%</t>
        </is>
      </c>
      <c r="E54" s="4" t="inlineStr">
        <is>
          <t>Proposed modeling assumption</t>
        </is>
      </c>
      <c r="F54" s="4" t="inlineStr">
        <is>
          <t>Based on FY2023-FY2025</t>
        </is>
      </c>
      <c r="G54" s="4" t="inlineStr">
        <is>
          <t>Review pending</t>
        </is>
      </c>
    </row>
    <row r="55">
      <c r="A55" s="4" t="inlineStr">
        <is>
          <t>Assumption</t>
        </is>
      </c>
      <c r="B55" s="4" t="inlineStr">
        <is>
          <t>DCF_CapexPctRevenue</t>
        </is>
      </c>
      <c r="C55" s="8" t="n">
        <v>0.028</v>
      </c>
      <c r="D55" s="4" t="inlineStr">
        <is>
          <t>%</t>
        </is>
      </c>
      <c r="E55" s="4" t="inlineStr">
        <is>
          <t>Proposed modeling assumption</t>
        </is>
      </c>
      <c r="F55" s="4" t="inlineStr">
        <is>
          <t>Based on FY2023-FY2025</t>
        </is>
      </c>
      <c r="G55" s="4" t="inlineStr">
        <is>
          <t>Review pending</t>
        </is>
      </c>
    </row>
    <row r="56">
      <c r="A56" s="4" t="inlineStr">
        <is>
          <t>Assumption</t>
        </is>
      </c>
      <c r="B56" s="4" t="inlineStr">
        <is>
          <t>DCF_NWCPctRevenue</t>
        </is>
      </c>
      <c r="C56" s="8" t="n">
        <v>-0.1250525637914173</v>
      </c>
      <c r="D56" s="4" t="inlineStr">
        <is>
          <t>%</t>
        </is>
      </c>
      <c r="E56" s="4" t="inlineStr">
        <is>
          <t>Proposed modeling assumption</t>
        </is>
      </c>
      <c r="F56" s="4" t="inlineStr">
        <is>
          <t>FY2025 operating NWC / revenue held constant</t>
        </is>
      </c>
      <c r="G56" s="4" t="inlineStr">
        <is>
          <t>Review pending</t>
        </is>
      </c>
    </row>
    <row r="57">
      <c r="A57" s="4" t="inlineStr">
        <is>
          <t>Assumption</t>
        </is>
      </c>
      <c r="B57" s="4" t="inlineStr">
        <is>
          <t>DCF_Growth_Y1</t>
        </is>
      </c>
      <c r="C57" s="8" t="n">
        <v>0.045</v>
      </c>
      <c r="D57" s="4" t="inlineStr">
        <is>
          <t>%</t>
        </is>
      </c>
      <c r="E57" s="4" t="inlineStr">
        <is>
          <t>Proposed modeling assumption</t>
        </is>
      </c>
      <c r="F57" s="4" t="inlineStr">
        <is>
          <t>Five-year fade from historical growth toward terminal growth</t>
        </is>
      </c>
      <c r="G57" s="4" t="inlineStr">
        <is>
          <t>Review pending</t>
        </is>
      </c>
    </row>
    <row r="58">
      <c r="A58" s="4" t="inlineStr">
        <is>
          <t>Assumption</t>
        </is>
      </c>
      <c r="B58" s="4" t="inlineStr">
        <is>
          <t>DCF_Growth_Y2</t>
        </is>
      </c>
      <c r="C58" s="8" t="n">
        <v>0.04</v>
      </c>
      <c r="D58" s="4" t="inlineStr">
        <is>
          <t>%</t>
        </is>
      </c>
      <c r="E58" s="4" t="inlineStr">
        <is>
          <t>Proposed modeling assumption</t>
        </is>
      </c>
      <c r="F58" s="4" t="inlineStr">
        <is>
          <t>Five-year fade from historical growth toward terminal growth</t>
        </is>
      </c>
      <c r="G58" s="4" t="inlineStr">
        <is>
          <t>Review pending</t>
        </is>
      </c>
    </row>
    <row r="59">
      <c r="A59" s="4" t="inlineStr">
        <is>
          <t>Assumption</t>
        </is>
      </c>
      <c r="B59" s="4" t="inlineStr">
        <is>
          <t>DCF_Growth_Y3</t>
        </is>
      </c>
      <c r="C59" s="8" t="n">
        <v>0.035</v>
      </c>
      <c r="D59" s="4" t="inlineStr">
        <is>
          <t>%</t>
        </is>
      </c>
      <c r="E59" s="4" t="inlineStr">
        <is>
          <t>Proposed modeling assumption</t>
        </is>
      </c>
      <c r="F59" s="4" t="inlineStr">
        <is>
          <t>Five-year fade from historical growth toward terminal growth</t>
        </is>
      </c>
      <c r="G59" s="4" t="inlineStr">
        <is>
          <t>Review pending</t>
        </is>
      </c>
    </row>
    <row r="60">
      <c r="A60" s="4" t="inlineStr">
        <is>
          <t>Assumption</t>
        </is>
      </c>
      <c r="B60" s="4" t="inlineStr">
        <is>
          <t>DCF_Growth_Y4</t>
        </is>
      </c>
      <c r="C60" s="8" t="n">
        <v>0.03</v>
      </c>
      <c r="D60" s="4" t="inlineStr">
        <is>
          <t>%</t>
        </is>
      </c>
      <c r="E60" s="4" t="inlineStr">
        <is>
          <t>Proposed modeling assumption</t>
        </is>
      </c>
      <c r="F60" s="4" t="inlineStr">
        <is>
          <t>Five-year fade from historical growth toward terminal growth</t>
        </is>
      </c>
      <c r="G60" s="4" t="inlineStr">
        <is>
          <t>Review pending</t>
        </is>
      </c>
    </row>
    <row r="61">
      <c r="A61" s="4" t="inlineStr">
        <is>
          <t>Assumption</t>
        </is>
      </c>
      <c r="B61" s="4" t="inlineStr">
        <is>
          <t>DCF_Growth_Y5</t>
        </is>
      </c>
      <c r="C61" s="8" t="n">
        <v>0.025</v>
      </c>
      <c r="D61" s="4" t="inlineStr">
        <is>
          <t>%</t>
        </is>
      </c>
      <c r="E61" s="4" t="inlineStr">
        <is>
          <t>Proposed modeling assumption</t>
        </is>
      </c>
      <c r="F61" s="4" t="inlineStr">
        <is>
          <t>Five-year fade from historical growth toward terminal growth</t>
        </is>
      </c>
      <c r="G61" s="4" t="inlineStr">
        <is>
          <t>Review pending</t>
        </is>
      </c>
    </row>
    <row r="62">
      <c r="A62" s="4" t="inlineStr">
        <is>
          <t>Assumption</t>
        </is>
      </c>
      <c r="B62" s="4" t="inlineStr">
        <is>
          <t>LBO_EntryMultiple</t>
        </is>
      </c>
      <c r="C62" s="9" t="n">
        <v>20</v>
      </c>
      <c r="D62" s="4" t="inlineStr">
        <is>
          <t>x EBITDA</t>
        </is>
      </c>
      <c r="E62" s="4" t="inlineStr">
        <is>
          <t>Proposed LBO assumption</t>
        </is>
      </c>
      <c r="F62" s="4" t="inlineStr">
        <is>
          <t>Entry multiple informed by prior comps</t>
        </is>
      </c>
      <c r="G62" s="4" t="inlineStr">
        <is>
          <t>Review pending</t>
        </is>
      </c>
    </row>
    <row r="63">
      <c r="A63" s="4" t="inlineStr">
        <is>
          <t>Assumption</t>
        </is>
      </c>
      <c r="B63" s="4" t="inlineStr">
        <is>
          <t>LBO_ExitMultiple</t>
        </is>
      </c>
      <c r="C63" s="9" t="n">
        <v>19</v>
      </c>
      <c r="D63" s="4" t="inlineStr">
        <is>
          <t>x EBITDA</t>
        </is>
      </c>
      <c r="E63" s="4" t="inlineStr">
        <is>
          <t>Proposed LBO assumption</t>
        </is>
      </c>
      <c r="F63" s="4" t="inlineStr">
        <is>
          <t>One-turn exit de-rating</t>
        </is>
      </c>
      <c r="G63" s="4" t="inlineStr">
        <is>
          <t>Review pending</t>
        </is>
      </c>
    </row>
    <row r="64">
      <c r="A64" s="4" t="inlineStr">
        <is>
          <t>Assumption</t>
        </is>
      </c>
      <c r="B64" s="4" t="inlineStr">
        <is>
          <t>LBO_TLBLeverage</t>
        </is>
      </c>
      <c r="C64" s="9" t="n">
        <v>3.5</v>
      </c>
      <c r="D64" s="4" t="inlineStr">
        <is>
          <t>x EBITDA</t>
        </is>
      </c>
      <c r="E64" s="4" t="inlineStr">
        <is>
          <t>Proposed LBO assumption</t>
        </is>
      </c>
      <c r="F64" s="4" t="inlineStr">
        <is>
          <t>TLB opening leverage</t>
        </is>
      </c>
      <c r="G64" s="4" t="inlineStr">
        <is>
          <t>Review pending</t>
        </is>
      </c>
    </row>
    <row r="65">
      <c r="A65" s="4" t="inlineStr">
        <is>
          <t>Assumption</t>
        </is>
      </c>
      <c r="B65" s="4" t="inlineStr">
        <is>
          <t>LBO_NotesLeverage</t>
        </is>
      </c>
      <c r="C65" s="9" t="n">
        <v>1.5</v>
      </c>
      <c r="D65" s="4" t="inlineStr">
        <is>
          <t>x EBITDA</t>
        </is>
      </c>
      <c r="E65" s="4" t="inlineStr">
        <is>
          <t>Proposed LBO assumption</t>
        </is>
      </c>
      <c r="F65" s="4" t="inlineStr">
        <is>
          <t>Senior notes opening leverage</t>
        </is>
      </c>
      <c r="G65" s="4" t="inlineStr">
        <is>
          <t>Review pending</t>
        </is>
      </c>
    </row>
    <row r="66">
      <c r="A66" s="4" t="inlineStr">
        <is>
          <t>Assumption</t>
        </is>
      </c>
      <c r="B66" s="4" t="inlineStr">
        <is>
          <t>LBO_TLBSpread</t>
        </is>
      </c>
      <c r="C66" s="8" t="n">
        <v>0.025</v>
      </c>
      <c r="D66" s="4" t="inlineStr">
        <is>
          <t>%</t>
        </is>
      </c>
      <c r="E66" s="4" t="inlineStr">
        <is>
          <t>Proposed LBO assumption</t>
        </is>
      </c>
      <c r="F66" s="4" t="inlineStr">
        <is>
          <t>Spread over risk-free rate</t>
        </is>
      </c>
      <c r="G66" s="4" t="inlineStr">
        <is>
          <t>Review pending</t>
        </is>
      </c>
    </row>
    <row r="67">
      <c r="A67" s="4" t="inlineStr">
        <is>
          <t>Assumption</t>
        </is>
      </c>
      <c r="B67" s="4" t="inlineStr">
        <is>
          <t>LBO_NotesSpread</t>
        </is>
      </c>
      <c r="C67" s="8" t="n">
        <v>0.0325</v>
      </c>
      <c r="D67" s="4" t="inlineStr">
        <is>
          <t>%</t>
        </is>
      </c>
      <c r="E67" s="4" t="inlineStr">
        <is>
          <t>Proposed LBO assumption</t>
        </is>
      </c>
      <c r="F67" s="4" t="inlineStr">
        <is>
          <t>Spread over risk-free rate</t>
        </is>
      </c>
      <c r="G67" s="4" t="inlineStr">
        <is>
          <t>Review pending</t>
        </is>
      </c>
    </row>
    <row r="68">
      <c r="A68" s="4" t="inlineStr">
        <is>
          <t>Assumption</t>
        </is>
      </c>
      <c r="B68" s="4" t="inlineStr">
        <is>
          <t>LBO_TLBAmort</t>
        </is>
      </c>
      <c r="C68" s="9" t="n">
        <v>0.01</v>
      </c>
      <c r="D68" s="4" t="inlineStr">
        <is>
          <t>% original debt</t>
        </is>
      </c>
      <c r="E68" s="4" t="inlineStr">
        <is>
          <t>Proposed LBO assumption</t>
        </is>
      </c>
      <c r="F68" s="4" t="inlineStr">
        <is>
          <t>Annual scheduled amortization</t>
        </is>
      </c>
      <c r="G68" s="4" t="inlineStr">
        <is>
          <t>Review pending</t>
        </is>
      </c>
    </row>
    <row r="69">
      <c r="A69" s="4" t="inlineStr">
        <is>
          <t>Assumption</t>
        </is>
      </c>
      <c r="B69" s="4" t="inlineStr">
        <is>
          <t>LBO_FeePct</t>
        </is>
      </c>
      <c r="C69" s="9" t="n">
        <v>0.01</v>
      </c>
      <c r="D69" s="4" t="inlineStr">
        <is>
          <t>% entry EV</t>
        </is>
      </c>
      <c r="E69" s="4" t="inlineStr">
        <is>
          <t>Proposed LBO assumption</t>
        </is>
      </c>
      <c r="F69" s="4" t="inlineStr">
        <is>
          <t>Transaction fees</t>
        </is>
      </c>
      <c r="G69" s="4" t="inlineStr">
        <is>
          <t>Review pending</t>
        </is>
      </c>
    </row>
    <row r="70">
      <c r="A70" s="4" t="inlineStr">
        <is>
          <t>Assumption</t>
        </is>
      </c>
      <c r="B70" s="4" t="inlineStr">
        <is>
          <t>LBO_TargetIRR</t>
        </is>
      </c>
      <c r="C70" s="8" t="n">
        <v>0.2</v>
      </c>
      <c r="D70" s="4" t="inlineStr">
        <is>
          <t>%</t>
        </is>
      </c>
      <c r="E70" s="4" t="inlineStr">
        <is>
          <t>Proposed LBO assumption</t>
        </is>
      </c>
      <c r="F70" s="4" t="inlineStr">
        <is>
          <t>User-specified ability-to-pay target</t>
        </is>
      </c>
      <c r="G70" s="4" t="inlineStr">
        <is>
          <t>Review pending</t>
        </is>
      </c>
    </row>
    <row r="71">
      <c r="A71" s="4" t="inlineStr">
        <is>
          <t>Assumption</t>
        </is>
      </c>
      <c r="B71" s="4" t="inlineStr">
        <is>
          <t>LBO_HoldYears</t>
        </is>
      </c>
      <c r="C71" s="9" t="n">
        <v>5</v>
      </c>
      <c r="D71" s="4" t="inlineStr">
        <is>
          <t>years</t>
        </is>
      </c>
      <c r="E71" s="4" t="inlineStr">
        <is>
          <t>Proposed LBO assumption</t>
        </is>
      </c>
      <c r="F71" s="4" t="inlineStr">
        <is>
          <t>User-specified holding period</t>
        </is>
      </c>
      <c r="G71" s="4" t="inlineStr">
        <is>
          <t>Review pending</t>
        </is>
      </c>
    </row>
    <row r="72">
      <c r="A72" s="4" t="inlineStr">
        <is>
          <t>Derived calculation</t>
        </is>
      </c>
      <c r="B72" s="4" t="inlineStr">
        <is>
          <t>AAPL_NWC_FY2025</t>
        </is>
      </c>
      <c r="C72" s="10">
        <f>(C32-C26-C27)-(C33-C29-C30)</f>
        <v/>
      </c>
      <c r="D72" s="4" t="inlineStr">
        <is>
          <t>USD bn</t>
        </is>
      </c>
      <c r="E72" s="4" t="inlineStr">
        <is>
          <t>Derived from SEC facts</t>
        </is>
      </c>
      <c r="F72" s="4" t="inlineStr">
        <is>
          <t>(AssetsCurrent - cash - current securities) - (current liabilities - current debt - commercial paper)</t>
        </is>
      </c>
      <c r="G72" s="4" t="inlineStr">
        <is>
          <t>0000320193-25-000079</t>
        </is>
      </c>
    </row>
    <row r="73">
      <c r="A73" t="inlineStr">
        <is>
          <t>Derived valuation input</t>
        </is>
      </c>
      <c r="B73" t="inlineStr">
        <is>
          <t>MSFT_EVRevenue_Multiple_Rounded</t>
        </is>
      </c>
      <c r="C73" s="19" t="n">
        <v>11.62</v>
      </c>
      <c r="D73" t="inlineStr">
        <is>
          <t>x</t>
        </is>
      </c>
      <c r="E73" t="inlineStr">
        <is>
          <t>Previously derived rounded peer multiple</t>
        </is>
      </c>
      <c r="F73" t="inlineStr">
        <is>
          <t>Microsoft EV / Revenue applied in Day 5 report</t>
        </is>
      </c>
      <c r="G73" t="inlineStr">
        <is>
          <t>Rounded from the already-established comps output</t>
        </is>
      </c>
    </row>
    <row r="74">
      <c r="A74" t="inlineStr">
        <is>
          <t>Derived valuation input</t>
        </is>
      </c>
      <c r="B74" t="inlineStr">
        <is>
          <t>MSFT_EVEBITDA_Multiple_Rounded</t>
        </is>
      </c>
      <c r="C74" s="19" t="n">
        <v>19.86</v>
      </c>
      <c r="D74" t="inlineStr">
        <is>
          <t>x</t>
        </is>
      </c>
      <c r="E74" t="inlineStr">
        <is>
          <t>Previously derived rounded peer multiple</t>
        </is>
      </c>
      <c r="F74" t="inlineStr">
        <is>
          <t>Microsoft EV / EBITDA applied in Day 5 report</t>
        </is>
      </c>
      <c r="G74" t="inlineStr">
        <is>
          <t>Rounded from the already-established comps output</t>
        </is>
      </c>
    </row>
    <row r="75">
      <c r="A75" t="inlineStr">
        <is>
          <t>Derived valuation input</t>
        </is>
      </c>
      <c r="B75" t="inlineStr">
        <is>
          <t>MSFT_PE_Multiple_Rounded</t>
        </is>
      </c>
      <c r="C75" s="19" t="n">
        <v>29.38</v>
      </c>
      <c r="D75" t="inlineStr">
        <is>
          <t>x</t>
        </is>
      </c>
      <c r="E75" t="inlineStr">
        <is>
          <t>Previously derived rounded peer multiple</t>
        </is>
      </c>
      <c r="F75" t="inlineStr">
        <is>
          <t>Microsoft P/E applied in Day 5 report</t>
        </is>
      </c>
      <c r="G75" t="inlineStr">
        <is>
          <t>Rounded from the already-established comps output</t>
        </is>
      </c>
    </row>
    <row r="76">
      <c r="A76" t="inlineStr">
        <is>
          <t>Assumption</t>
        </is>
      </c>
      <c r="B76" t="inlineStr">
        <is>
          <t>LBO_TLBMaturityYears</t>
        </is>
      </c>
      <c r="C76" t="n">
        <v>7</v>
      </c>
      <c r="D76" t="inlineStr">
        <is>
          <t>years</t>
        </is>
      </c>
      <c r="E76" t="inlineStr">
        <is>
          <t>Proposed LBO assumption</t>
        </is>
      </c>
      <c r="F76" t="inlineStr">
        <is>
          <t>Term Loan B maturity</t>
        </is>
      </c>
      <c r="G76" t="inlineStr">
        <is>
          <t>Review pending</t>
        </is>
      </c>
    </row>
    <row r="77">
      <c r="A77" t="inlineStr">
        <is>
          <t>Assumption</t>
        </is>
      </c>
      <c r="B77" t="inlineStr">
        <is>
          <t>LBO_NotesMaturityYears</t>
        </is>
      </c>
      <c r="C77" t="n">
        <v>10</v>
      </c>
      <c r="D77" t="inlineStr">
        <is>
          <t>years</t>
        </is>
      </c>
      <c r="E77" t="inlineStr">
        <is>
          <t>Proposed LBO assumption</t>
        </is>
      </c>
      <c r="F77" t="inlineStr">
        <is>
          <t>Senior notes maturity</t>
        </is>
      </c>
      <c r="G77" t="inlineStr">
        <is>
          <t>Review pending</t>
        </is>
      </c>
    </row>
    <row r="78">
      <c r="A78" t="inlineStr">
        <is>
          <t>Assumption</t>
        </is>
      </c>
      <c r="B78" t="inlineStr">
        <is>
          <t>LBO_NotesScheduledAmort</t>
        </is>
      </c>
      <c r="C78" t="n">
        <v>0</v>
      </c>
      <c r="D78" t="inlineStr">
        <is>
          <t>% original debt</t>
        </is>
      </c>
      <c r="E78" t="inlineStr">
        <is>
          <t>Proposed LBO assumption</t>
        </is>
      </c>
      <c r="F78" t="inlineStr">
        <is>
          <t>No scheduled senior-note amortization during five-year hold</t>
        </is>
      </c>
      <c r="G78" t="inlineStr">
        <is>
          <t>Review pending</t>
        </is>
      </c>
    </row>
    <row r="79">
      <c r="A79" t="inlineStr">
        <is>
          <t>Assumption</t>
        </is>
      </c>
      <c r="B79" t="inlineStr">
        <is>
          <t>LBO_CashSweepPct</t>
        </is>
      </c>
      <c r="C79" t="n">
        <v>1</v>
      </c>
      <c r="D79" t="inlineStr">
        <is>
          <t>%</t>
        </is>
      </c>
      <c r="E79" t="inlineStr">
        <is>
          <t>Proposed LBO assumption</t>
        </is>
      </c>
      <c r="F79" t="inlineStr">
        <is>
          <t>100% excess cash sweep, TLB first, then notes</t>
        </is>
      </c>
      <c r="G79" t="inlineStr">
        <is>
          <t>Review pending</t>
        </is>
      </c>
    </row>
    <row r="80">
      <c r="A80" t="inlineStr">
        <is>
          <t>Assumption</t>
        </is>
      </c>
      <c r="B80" t="inlineStr">
        <is>
          <t>LBO_MinimumCashReserve</t>
        </is>
      </c>
      <c r="C80" t="n">
        <v>0</v>
      </c>
      <c r="D80" t="inlineStr">
        <is>
          <t>USD bn</t>
        </is>
      </c>
      <c r="E80" t="inlineStr">
        <is>
          <t>Proposed LBO assumption</t>
        </is>
      </c>
      <c r="F80" t="inlineStr">
        <is>
          <t>No minimum cash reserve modeled</t>
        </is>
      </c>
      <c r="G80" t="inlineStr">
        <is>
          <t>Review pending</t>
        </is>
      </c>
    </row>
    <row r="81">
      <c r="A81" t="inlineStr">
        <is>
          <t>Assumption</t>
        </is>
      </c>
      <c r="B81" t="inlineStr">
        <is>
          <t>LBO_InterimDistributions</t>
        </is>
      </c>
      <c r="C81" t="n">
        <v>0</v>
      </c>
      <c r="D81" t="inlineStr">
        <is>
          <t>USD bn</t>
        </is>
      </c>
      <c r="E81" t="inlineStr">
        <is>
          <t>Proposed LBO assumption</t>
        </is>
      </c>
      <c r="F81" t="inlineStr">
        <is>
          <t>No sponsor distributions during the hold</t>
        </is>
      </c>
      <c r="G81" t="inlineStr">
        <is>
          <t>Review pending</t>
        </is>
      </c>
    </row>
    <row r="82">
      <c r="A82" s="2" t="inlineStr">
        <is>
          <t>SEC fact</t>
        </is>
      </c>
      <c r="B82" s="2" t="inlineStr">
        <is>
          <t>GOOGL_Revenue_FY2025</t>
        </is>
      </c>
      <c r="C82" s="20" t="n">
        <v>402.836</v>
      </c>
      <c r="D82" s="2" t="inlineStr">
        <is>
          <t>USD bn</t>
        </is>
      </c>
      <c r="E82" s="2" t="inlineStr">
        <is>
          <t>Traced SEC fact</t>
        </is>
      </c>
      <c r="F82" s="2" t="inlineStr">
        <is>
          <t>Revenues</t>
        </is>
      </c>
      <c r="G82" s="2" t="inlineStr">
        <is>
          <t>0001652044-26-000018</t>
        </is>
      </c>
    </row>
    <row r="83">
      <c r="A83" s="2" t="inlineStr">
        <is>
          <t>SEC fact</t>
        </is>
      </c>
      <c r="B83" s="2" t="inlineStr">
        <is>
          <t>GOOGL_EBIT_FY2025</t>
        </is>
      </c>
      <c r="C83" s="20" t="n">
        <v>129.039</v>
      </c>
      <c r="D83" s="2" t="inlineStr">
        <is>
          <t>USD bn</t>
        </is>
      </c>
      <c r="E83" s="2" t="inlineStr">
        <is>
          <t>Traced SEC fact</t>
        </is>
      </c>
      <c r="F83" s="2" t="inlineStr">
        <is>
          <t>OperatingIncomeLoss</t>
        </is>
      </c>
      <c r="G83" s="2" t="inlineStr">
        <is>
          <t>0001652044-26-000018</t>
        </is>
      </c>
    </row>
    <row r="84">
      <c r="A84" s="2" t="inlineStr">
        <is>
          <t>SEC fact</t>
        </is>
      </c>
      <c r="B84" s="2" t="inlineStr">
        <is>
          <t>GOOGL_Depreciation_FY2025</t>
        </is>
      </c>
      <c r="C84" s="20" t="n">
        <v>21.136</v>
      </c>
      <c r="D84" s="2" t="inlineStr">
        <is>
          <t>USD bn</t>
        </is>
      </c>
      <c r="E84" s="2" t="inlineStr">
        <is>
          <t>Traced SEC fact</t>
        </is>
      </c>
      <c r="F84" s="2" t="inlineStr">
        <is>
          <t>Depreciation</t>
        </is>
      </c>
      <c r="G84" s="2" t="inlineStr">
        <is>
          <t>0001652044-26-000018</t>
        </is>
      </c>
    </row>
    <row r="85">
      <c r="A85" s="2" t="inlineStr">
        <is>
          <t>SEC fact</t>
        </is>
      </c>
      <c r="B85" s="2" t="inlineStr">
        <is>
          <t>GOOGL_NetIncome_FY2025</t>
        </is>
      </c>
      <c r="C85" s="20" t="n">
        <v>132.17</v>
      </c>
      <c r="D85" s="2" t="inlineStr">
        <is>
          <t>USD bn</t>
        </is>
      </c>
      <c r="E85" s="2" t="inlineStr">
        <is>
          <t>Traced SEC fact</t>
        </is>
      </c>
      <c r="F85" s="2" t="inlineStr">
        <is>
          <t>NetIncomeLoss</t>
        </is>
      </c>
      <c r="G85" s="2" t="inlineStr">
        <is>
          <t>0001652044-26-000018</t>
        </is>
      </c>
    </row>
    <row r="86">
      <c r="A86" s="2" t="inlineStr">
        <is>
          <t>SEC fact</t>
        </is>
      </c>
      <c r="B86" s="2" t="inlineStr">
        <is>
          <t>GOOGL_Debt_identified_FY2025</t>
        </is>
      </c>
      <c r="C86" s="20">
        <f>SUM('Inputs'!$C$137,'Inputs'!$C$138,'Inputs'!$C$88)</f>
        <v/>
      </c>
      <c r="D86" s="2" t="inlineStr">
        <is>
          <t>USD bn</t>
        </is>
      </c>
      <c r="E86" s="2" t="inlineStr">
        <is>
          <t>Derived from traced SEC facts</t>
        </is>
      </c>
      <c r="F86" s="2" t="inlineStr">
        <is>
          <t>LongTermDebtCurrent + LongTermDebtNoncurrent + CommercialPaper</t>
        </is>
      </c>
      <c r="G86" s="2" t="inlineStr">
        <is>
          <t>0001652044-26-000018</t>
        </is>
      </c>
    </row>
    <row r="87">
      <c r="A87" s="2" t="inlineStr">
        <is>
          <t>SEC fact</t>
        </is>
      </c>
      <c r="B87" s="2" t="inlineStr">
        <is>
          <t>GOOGL_CashInvestments_FY2025</t>
        </is>
      </c>
      <c r="C87" s="20">
        <f>SUM('Inputs'!$C$135,'Inputs'!$C$136)</f>
        <v/>
      </c>
      <c r="D87" s="2" t="inlineStr">
        <is>
          <t>USD bn</t>
        </is>
      </c>
      <c r="E87" s="2" t="inlineStr">
        <is>
          <t>Derived from traced SEC facts</t>
        </is>
      </c>
      <c r="F87" s="2" t="inlineStr">
        <is>
          <t>CashCashEquivalentsAndShortTermInvestments + OtherLongTermInvestments; aggregate includes cash</t>
        </is>
      </c>
      <c r="G87" s="2" t="inlineStr">
        <is>
          <t>0001652044-26-000018</t>
        </is>
      </c>
    </row>
    <row r="88">
      <c r="A88" s="2" t="inlineStr">
        <is>
          <t>SEC fact</t>
        </is>
      </c>
      <c r="B88" s="2" t="inlineStr">
        <is>
          <t>GOOGL_CommercialPaper_FY2025</t>
        </is>
      </c>
      <c r="C88" s="20" t="n">
        <v>0</v>
      </c>
      <c r="D88" s="2" t="inlineStr">
        <is>
          <t>USD bn</t>
        </is>
      </c>
      <c r="E88" s="2" t="inlineStr">
        <is>
          <t>Traced SEC fact</t>
        </is>
      </c>
      <c r="F88" s="2" t="inlineStr">
        <is>
          <t>CommercialPaper (reported fact)</t>
        </is>
      </c>
      <c r="G88" s="2" t="inlineStr">
        <is>
          <t>0001652044-26-000018</t>
        </is>
      </c>
    </row>
    <row r="89">
      <c r="A89" s="2" t="inlineStr">
        <is>
          <t>SEC fact</t>
        </is>
      </c>
      <c r="B89" s="2" t="inlineStr">
        <is>
          <t>AMZN_Revenue_FY2025</t>
        </is>
      </c>
      <c r="C89" s="20" t="n">
        <v>716.924</v>
      </c>
      <c r="D89" s="2" t="inlineStr">
        <is>
          <t>USD bn</t>
        </is>
      </c>
      <c r="E89" s="2" t="inlineStr">
        <is>
          <t>Traced SEC fact</t>
        </is>
      </c>
      <c r="F89" s="2" t="inlineStr">
        <is>
          <t>RevenueFromContractWithCustomerExcludingAssessedTax</t>
        </is>
      </c>
      <c r="G89" s="2" t="inlineStr">
        <is>
          <t>0001018724-26-000004</t>
        </is>
      </c>
    </row>
    <row r="90">
      <c r="A90" s="2" t="inlineStr">
        <is>
          <t>SEC fact</t>
        </is>
      </c>
      <c r="B90" s="2" t="inlineStr">
        <is>
          <t>AMZN_EBIT_FY2025</t>
        </is>
      </c>
      <c r="C90" s="20" t="n">
        <v>79.97499999999999</v>
      </c>
      <c r="D90" s="2" t="inlineStr">
        <is>
          <t>USD bn</t>
        </is>
      </c>
      <c r="E90" s="2" t="inlineStr">
        <is>
          <t>Traced SEC fact</t>
        </is>
      </c>
      <c r="F90" s="2" t="inlineStr">
        <is>
          <t>OperatingIncomeLoss</t>
        </is>
      </c>
      <c r="G90" s="2" t="inlineStr">
        <is>
          <t>0001018724-26-000004</t>
        </is>
      </c>
    </row>
    <row r="91">
      <c r="A91" s="2" t="inlineStr">
        <is>
          <t>SEC fact</t>
        </is>
      </c>
      <c r="B91" s="2" t="inlineStr">
        <is>
          <t>AMZN_Depreciation_FY2025</t>
        </is>
      </c>
      <c r="C91" s="20" t="n">
        <v>41.86</v>
      </c>
      <c r="D91" s="2" t="inlineStr">
        <is>
          <t>USD bn</t>
        </is>
      </c>
      <c r="E91" s="2" t="inlineStr">
        <is>
          <t>Traced SEC fact</t>
        </is>
      </c>
      <c r="F91" s="2" t="inlineStr">
        <is>
          <t>Depreciation</t>
        </is>
      </c>
      <c r="G91" s="2" t="inlineStr">
        <is>
          <t>0001018724-26-000004</t>
        </is>
      </c>
    </row>
    <row r="92">
      <c r="A92" s="2" t="inlineStr">
        <is>
          <t>SEC fact</t>
        </is>
      </c>
      <c r="B92" s="2" t="inlineStr">
        <is>
          <t>AMZN_IntangibleAmortization_FY2025</t>
        </is>
      </c>
      <c r="C92" s="20" t="n">
        <v>0.8169999999999999</v>
      </c>
      <c r="D92" s="2" t="inlineStr">
        <is>
          <t>USD bn</t>
        </is>
      </c>
      <c r="E92" s="2" t="inlineStr">
        <is>
          <t>Traced SEC fact</t>
        </is>
      </c>
      <c r="F92" s="2" t="inlineStr">
        <is>
          <t>AmortizationOfIntangibleAssets</t>
        </is>
      </c>
      <c r="G92" s="2" t="inlineStr">
        <is>
          <t>0001018724-26-000004</t>
        </is>
      </c>
    </row>
    <row r="93">
      <c r="A93" s="2" t="inlineStr">
        <is>
          <t>SEC fact</t>
        </is>
      </c>
      <c r="B93" s="2" t="inlineStr">
        <is>
          <t>AMZN_NetIncome_FY2025</t>
        </is>
      </c>
      <c r="C93" s="20" t="n">
        <v>77.67</v>
      </c>
      <c r="D93" s="2" t="inlineStr">
        <is>
          <t>USD bn</t>
        </is>
      </c>
      <c r="E93" s="2" t="inlineStr">
        <is>
          <t>Traced SEC fact</t>
        </is>
      </c>
      <c r="F93" s="2" t="inlineStr">
        <is>
          <t>NetIncomeLoss</t>
        </is>
      </c>
      <c r="G93" s="2" t="inlineStr">
        <is>
          <t>0001018724-26-000004</t>
        </is>
      </c>
    </row>
    <row r="94">
      <c r="A94" s="2" t="inlineStr">
        <is>
          <t>SEC fact</t>
        </is>
      </c>
      <c r="B94" s="2" t="inlineStr">
        <is>
          <t>AMZN_Debt_identified_FY2025</t>
        </is>
      </c>
      <c r="C94" s="20">
        <f>SUM('Inputs'!$C$141,'Inputs'!$C$142)</f>
        <v/>
      </c>
      <c r="D94" s="2" t="inlineStr">
        <is>
          <t>USD bn</t>
        </is>
      </c>
      <c r="E94" s="2" t="inlineStr">
        <is>
          <t>Derived from traced SEC facts</t>
        </is>
      </c>
      <c r="F94" s="2" t="inlineStr">
        <is>
          <t>LongTermDebtCurrent + LongTermDebtNoncurrent</t>
        </is>
      </c>
      <c r="G94" s="2" t="inlineStr">
        <is>
          <t>0001018724-26-000004</t>
        </is>
      </c>
    </row>
    <row r="95">
      <c r="A95" s="2" t="inlineStr">
        <is>
          <t>SEC fact</t>
        </is>
      </c>
      <c r="B95" s="2" t="inlineStr">
        <is>
          <t>AMZN_CashInvestments_FY2025</t>
        </is>
      </c>
      <c r="C95" s="20">
        <f>SUM('Inputs'!$C$139,'Inputs'!$C$140)</f>
        <v/>
      </c>
      <c r="D95" s="2" t="inlineStr">
        <is>
          <t>USD bn</t>
        </is>
      </c>
      <c r="E95" s="2" t="inlineStr">
        <is>
          <t>Derived from traced SEC facts</t>
        </is>
      </c>
      <c r="F95" s="2" t="inlineStr">
        <is>
          <t>CashAndCashEquivalentsAtCarryingValue + MarketableSecuritiesCurrent</t>
        </is>
      </c>
      <c r="G95" s="2" t="inlineStr">
        <is>
          <t>0001018724-26-000004</t>
        </is>
      </c>
    </row>
    <row r="96">
      <c r="A96" s="2" t="inlineStr">
        <is>
          <t>SEC fact</t>
        </is>
      </c>
      <c r="B96" s="2" t="inlineStr">
        <is>
          <t>AMZN_CommercialPaper_FY2025</t>
        </is>
      </c>
      <c r="C96" s="3" t="inlineStr">
        <is>
          <t>Not found</t>
        </is>
      </c>
      <c r="D96" s="2" t="inlineStr">
        <is>
          <t>USD bn</t>
        </is>
      </c>
      <c r="E96" s="2" t="inlineStr">
        <is>
          <t>SEC fact unavailable in captured data</t>
        </is>
      </c>
      <c r="F96" s="2" t="inlineStr">
        <is>
          <t>CommercialPaper</t>
        </is>
      </c>
      <c r="G96" s="2" t="inlineStr">
        <is>
          <t>0001018724-26-000004; no fact identified; not treated as zero</t>
        </is>
      </c>
    </row>
    <row r="97">
      <c r="A97" s="2" t="inlineStr">
        <is>
          <t>SEC fact</t>
        </is>
      </c>
      <c r="B97" s="2" t="inlineStr">
        <is>
          <t>META_Revenue_FY2025</t>
        </is>
      </c>
      <c r="C97" s="20" t="n">
        <v>200.966</v>
      </c>
      <c r="D97" s="2" t="inlineStr">
        <is>
          <t>USD bn</t>
        </is>
      </c>
      <c r="E97" s="2" t="inlineStr">
        <is>
          <t>Traced SEC fact</t>
        </is>
      </c>
      <c r="F97" s="2" t="inlineStr">
        <is>
          <t>RevenueFromContractWithCustomerExcludingAssessedTax</t>
        </is>
      </c>
      <c r="G97" s="2" t="inlineStr">
        <is>
          <t>0001628280-26-003942</t>
        </is>
      </c>
    </row>
    <row r="98">
      <c r="A98" s="2" t="inlineStr">
        <is>
          <t>SEC fact</t>
        </is>
      </c>
      <c r="B98" s="2" t="inlineStr">
        <is>
          <t>META_EBIT_FY2025</t>
        </is>
      </c>
      <c r="C98" s="20" t="n">
        <v>83.276</v>
      </c>
      <c r="D98" s="2" t="inlineStr">
        <is>
          <t>USD bn</t>
        </is>
      </c>
      <c r="E98" s="2" t="inlineStr">
        <is>
          <t>Traced SEC fact</t>
        </is>
      </c>
      <c r="F98" s="2" t="inlineStr">
        <is>
          <t>OperatingIncomeLoss</t>
        </is>
      </c>
      <c r="G98" s="2" t="inlineStr">
        <is>
          <t>0001628280-26-003942</t>
        </is>
      </c>
    </row>
    <row r="99">
      <c r="A99" s="2" t="inlineStr">
        <is>
          <t>SEC fact</t>
        </is>
      </c>
      <c r="B99" s="2" t="inlineStr">
        <is>
          <t>META_Depreciation_FY2025</t>
        </is>
      </c>
      <c r="C99" s="20" t="n">
        <v>18</v>
      </c>
      <c r="D99" s="2" t="inlineStr">
        <is>
          <t>USD bn</t>
        </is>
      </c>
      <c r="E99" s="2" t="inlineStr">
        <is>
          <t>Traced SEC fact</t>
        </is>
      </c>
      <c r="F99" s="2" t="inlineStr">
        <is>
          <t>Depreciation</t>
        </is>
      </c>
      <c r="G99" s="2" t="inlineStr">
        <is>
          <t>0001628280-26-003942</t>
        </is>
      </c>
    </row>
    <row r="100">
      <c r="A100" s="2" t="inlineStr">
        <is>
          <t>SEC fact</t>
        </is>
      </c>
      <c r="B100" s="2" t="inlineStr">
        <is>
          <t>META_IntangibleAmortization_FY2025</t>
        </is>
      </c>
      <c r="C100" s="20" t="n">
        <v>0.615</v>
      </c>
      <c r="D100" s="2" t="inlineStr">
        <is>
          <t>USD bn</t>
        </is>
      </c>
      <c r="E100" s="2" t="inlineStr">
        <is>
          <t>Traced SEC fact</t>
        </is>
      </c>
      <c r="F100" s="2" t="inlineStr">
        <is>
          <t>AmortizationOfIntangibleAssets</t>
        </is>
      </c>
      <c r="G100" s="2" t="inlineStr">
        <is>
          <t>0001628280-26-003942</t>
        </is>
      </c>
    </row>
    <row r="101">
      <c r="A101" s="2" t="inlineStr">
        <is>
          <t>SEC fact</t>
        </is>
      </c>
      <c r="B101" s="2" t="inlineStr">
        <is>
          <t>META_NetIncome_FY2025</t>
        </is>
      </c>
      <c r="C101" s="20" t="n">
        <v>60.458</v>
      </c>
      <c r="D101" s="2" t="inlineStr">
        <is>
          <t>USD bn</t>
        </is>
      </c>
      <c r="E101" s="2" t="inlineStr">
        <is>
          <t>Traced SEC fact</t>
        </is>
      </c>
      <c r="F101" s="2" t="inlineStr">
        <is>
          <t>NetIncomeLoss</t>
        </is>
      </c>
      <c r="G101" s="2" t="inlineStr">
        <is>
          <t>0001628280-26-003942</t>
        </is>
      </c>
    </row>
    <row r="102">
      <c r="A102" s="2" t="inlineStr">
        <is>
          <t>SEC fact</t>
        </is>
      </c>
      <c r="B102" s="2" t="inlineStr">
        <is>
          <t>META_DebtNoncurrent_FY2025</t>
        </is>
      </c>
      <c r="C102" s="20" t="n">
        <v>58.744</v>
      </c>
      <c r="D102" s="2" t="inlineStr">
        <is>
          <t>USD bn</t>
        </is>
      </c>
      <c r="E102" s="2" t="inlineStr">
        <is>
          <t>Traced SEC fact</t>
        </is>
      </c>
      <c r="F102" s="2" t="inlineStr">
        <is>
          <t>LongTermDebtNoncurrent</t>
        </is>
      </c>
      <c r="G102" s="2" t="inlineStr">
        <is>
          <t>0001628280-26-003942</t>
        </is>
      </c>
    </row>
    <row r="103">
      <c r="A103" s="2" t="inlineStr">
        <is>
          <t>SEC fact</t>
        </is>
      </c>
      <c r="B103" s="2" t="inlineStr">
        <is>
          <t>META_DebtCurrent_FY2025</t>
        </is>
      </c>
      <c r="C103" s="3" t="inlineStr">
        <is>
          <t>Not found</t>
        </is>
      </c>
      <c r="D103" s="2" t="inlineStr">
        <is>
          <t>USD bn</t>
        </is>
      </c>
      <c r="E103" s="2" t="inlineStr">
        <is>
          <t>SEC fact unavailable in captured data</t>
        </is>
      </c>
      <c r="F103" s="2" t="inlineStr">
        <is>
          <t>LongTermDebtCurrent</t>
        </is>
      </c>
      <c r="G103" s="2" t="inlineStr">
        <is>
          <t>0001628280-26-003942; not found; identified debt subtotal is noncurrent only</t>
        </is>
      </c>
    </row>
    <row r="104">
      <c r="A104" s="2" t="inlineStr">
        <is>
          <t>SEC fact</t>
        </is>
      </c>
      <c r="B104" s="2" t="inlineStr">
        <is>
          <t>META_CommercialPaper_FY2025</t>
        </is>
      </c>
      <c r="C104" s="3" t="inlineStr">
        <is>
          <t>Not found</t>
        </is>
      </c>
      <c r="D104" s="2" t="inlineStr">
        <is>
          <t>USD bn</t>
        </is>
      </c>
      <c r="E104" s="2" t="inlineStr">
        <is>
          <t>SEC fact unavailable in captured data</t>
        </is>
      </c>
      <c r="F104" s="2" t="inlineStr">
        <is>
          <t>CommercialPaper</t>
        </is>
      </c>
      <c r="G104" s="2" t="inlineStr">
        <is>
          <t>0001628280-26-003942; no fact identified; not treated as zero</t>
        </is>
      </c>
    </row>
    <row r="105">
      <c r="A105" s="2" t="inlineStr">
        <is>
          <t>SEC fact</t>
        </is>
      </c>
      <c r="B105" s="2" t="inlineStr">
        <is>
          <t>META_Debt_identified_FY2025</t>
        </is>
      </c>
      <c r="C105" s="20" t="n">
        <v>58.744</v>
      </c>
      <c r="D105" s="2" t="inlineStr">
        <is>
          <t>USD bn</t>
        </is>
      </c>
      <c r="E105" s="2" t="inlineStr">
        <is>
          <t>Derived from traced SEC facts</t>
        </is>
      </c>
      <c r="F105" s="2" t="inlineStr">
        <is>
          <t>LongTermDebtNoncurrent only; current debt and commercial paper not found</t>
        </is>
      </c>
      <c r="G105" s="2" t="inlineStr">
        <is>
          <t>0001628280-26-003942</t>
        </is>
      </c>
    </row>
    <row r="106">
      <c r="A106" s="2" t="inlineStr">
        <is>
          <t>SEC fact</t>
        </is>
      </c>
      <c r="B106" s="2" t="inlineStr">
        <is>
          <t>META_CashInvestments_FY2025</t>
        </is>
      </c>
      <c r="C106" s="20">
        <f>SUM('Inputs'!$C$143,'Inputs'!$C$144)</f>
        <v/>
      </c>
      <c r="D106" s="2" t="inlineStr">
        <is>
          <t>USD bn</t>
        </is>
      </c>
      <c r="E106" s="2" t="inlineStr">
        <is>
          <t>Derived from traced SEC facts</t>
        </is>
      </c>
      <c r="F106" s="2" t="inlineStr">
        <is>
          <t>CashAndCashEquivalentsAtCarryingValue + MarketableSecuritiesCurrent</t>
        </is>
      </c>
      <c r="G106" s="2" t="inlineStr">
        <is>
          <t>0001628280-26-003942</t>
        </is>
      </c>
    </row>
    <row r="107">
      <c r="A107" s="2" t="inlineStr">
        <is>
          <t>SEC fact</t>
        </is>
      </c>
      <c r="B107" s="2" t="inlineStr">
        <is>
          <t>NVDA_Revenue_FY2026</t>
        </is>
      </c>
      <c r="C107" s="20" t="n">
        <v>215.938</v>
      </c>
      <c r="D107" s="2" t="inlineStr">
        <is>
          <t>USD bn</t>
        </is>
      </c>
      <c r="E107" s="2" t="inlineStr">
        <is>
          <t>Traced SEC fact</t>
        </is>
      </c>
      <c r="F107" s="2" t="inlineStr">
        <is>
          <t>Revenues</t>
        </is>
      </c>
      <c r="G107" s="2" t="inlineStr">
        <is>
          <t>0001045810-26-000021</t>
        </is>
      </c>
    </row>
    <row r="108">
      <c r="A108" s="2" t="inlineStr">
        <is>
          <t>SEC fact</t>
        </is>
      </c>
      <c r="B108" s="2" t="inlineStr">
        <is>
          <t>NVDA_EBIT_FY2026</t>
        </is>
      </c>
      <c r="C108" s="20" t="n">
        <v>130.387</v>
      </c>
      <c r="D108" s="2" t="inlineStr">
        <is>
          <t>USD bn</t>
        </is>
      </c>
      <c r="E108" s="2" t="inlineStr">
        <is>
          <t>Traced SEC fact</t>
        </is>
      </c>
      <c r="F108" s="2" t="inlineStr">
        <is>
          <t>OperatingIncomeLoss</t>
        </is>
      </c>
      <c r="G108" s="2" t="inlineStr">
        <is>
          <t>0001045810-26-000021</t>
        </is>
      </c>
    </row>
    <row r="109">
      <c r="A109" s="2" t="inlineStr">
        <is>
          <t>SEC fact</t>
        </is>
      </c>
      <c r="B109" s="2" t="inlineStr">
        <is>
          <t>NVDA_Depreciation_FY2026</t>
        </is>
      </c>
      <c r="C109" s="20" t="n">
        <v>2.4</v>
      </c>
      <c r="D109" s="2" t="inlineStr">
        <is>
          <t>USD bn</t>
        </is>
      </c>
      <c r="E109" s="2" t="inlineStr">
        <is>
          <t>Traced SEC fact</t>
        </is>
      </c>
      <c r="F109" s="2" t="inlineStr">
        <is>
          <t>Depreciation</t>
        </is>
      </c>
      <c r="G109" s="2" t="inlineStr">
        <is>
          <t>0001045810-26-000021</t>
        </is>
      </c>
    </row>
    <row r="110">
      <c r="A110" s="2" t="inlineStr">
        <is>
          <t>SEC fact</t>
        </is>
      </c>
      <c r="B110" s="2" t="inlineStr">
        <is>
          <t>NVDA_IntangibleAmortization_FY2026</t>
        </is>
      </c>
      <c r="C110" s="20" t="n">
        <v>0.488</v>
      </c>
      <c r="D110" s="2" t="inlineStr">
        <is>
          <t>USD bn</t>
        </is>
      </c>
      <c r="E110" s="2" t="inlineStr">
        <is>
          <t>Traced SEC fact</t>
        </is>
      </c>
      <c r="F110" s="2" t="inlineStr">
        <is>
          <t>AmortizationOfIntangibleAssets</t>
        </is>
      </c>
      <c r="G110" s="2" t="inlineStr">
        <is>
          <t>0001045810-26-000021</t>
        </is>
      </c>
    </row>
    <row r="111">
      <c r="A111" s="2" t="inlineStr">
        <is>
          <t>SEC fact</t>
        </is>
      </c>
      <c r="B111" s="2" t="inlineStr">
        <is>
          <t>NVDA_NetIncome_FY2026</t>
        </is>
      </c>
      <c r="C111" s="20" t="n">
        <v>120.067</v>
      </c>
      <c r="D111" s="2" t="inlineStr">
        <is>
          <t>USD bn</t>
        </is>
      </c>
      <c r="E111" s="2" t="inlineStr">
        <is>
          <t>Traced SEC fact</t>
        </is>
      </c>
      <c r="F111" s="2" t="inlineStr">
        <is>
          <t>NetIncomeLoss</t>
        </is>
      </c>
      <c r="G111" s="2" t="inlineStr">
        <is>
          <t>0001045810-26-000021</t>
        </is>
      </c>
    </row>
    <row r="112">
      <c r="A112" s="2" t="inlineStr">
        <is>
          <t>SEC fact</t>
        </is>
      </c>
      <c r="B112" s="2" t="inlineStr">
        <is>
          <t>NVDA_Debt_identified_FY2026</t>
        </is>
      </c>
      <c r="C112" s="20">
        <f>SUM('Inputs'!$C$145,'Inputs'!$C$146)</f>
        <v/>
      </c>
      <c r="D112" s="2" t="inlineStr">
        <is>
          <t>USD bn</t>
        </is>
      </c>
      <c r="E112" s="2" t="inlineStr">
        <is>
          <t>Derived from traced SEC facts</t>
        </is>
      </c>
      <c r="F112" s="2" t="inlineStr">
        <is>
          <t>LongTermDebtCurrent + LongTermDebtNoncurrent</t>
        </is>
      </c>
      <c r="G112" s="2" t="inlineStr">
        <is>
          <t>0001045810-26-000021</t>
        </is>
      </c>
    </row>
    <row r="113">
      <c r="A113" s="2" t="inlineStr">
        <is>
          <t>SEC fact</t>
        </is>
      </c>
      <c r="B113" s="2" t="inlineStr">
        <is>
          <t>NVDA_Cash_FY2026</t>
        </is>
      </c>
      <c r="C113" s="20" t="n">
        <v>10.605</v>
      </c>
      <c r="D113" s="2" t="inlineStr">
        <is>
          <t>USD bn</t>
        </is>
      </c>
      <c r="E113" s="2" t="inlineStr">
        <is>
          <t>Traced SEC fact</t>
        </is>
      </c>
      <c r="F113" s="2" t="inlineStr">
        <is>
          <t>CashAndCashEquivalentsAtCarryingValue</t>
        </is>
      </c>
      <c r="G113" s="2" t="inlineStr">
        <is>
          <t>0001045810-26-000021</t>
        </is>
      </c>
    </row>
    <row r="114">
      <c r="A114" s="2" t="inlineStr">
        <is>
          <t>SEC fact</t>
        </is>
      </c>
      <c r="B114" s="2" t="inlineStr">
        <is>
          <t>NVDA_Investments_FY2026</t>
        </is>
      </c>
      <c r="C114" s="3" t="inlineStr">
        <is>
          <t>Not found</t>
        </is>
      </c>
      <c r="D114" s="2" t="inlineStr">
        <is>
          <t>USD bn</t>
        </is>
      </c>
      <c r="E114" s="2" t="inlineStr">
        <is>
          <t>SEC fact unavailable in captured data</t>
        </is>
      </c>
      <c r="F114" s="2" t="inlineStr">
        <is>
          <t>ShortTermInvestments / MarketableSecuritiesCurrent / other investments</t>
        </is>
      </c>
      <c r="G114" s="2" t="inlineStr">
        <is>
          <t>0001045810-26-000021; not identified; not treated as zero</t>
        </is>
      </c>
    </row>
    <row r="115">
      <c r="A115" s="2" t="inlineStr">
        <is>
          <t>SEC fact</t>
        </is>
      </c>
      <c r="B115" s="2" t="inlineStr">
        <is>
          <t>NVDA_CommercialPaper_FY2026</t>
        </is>
      </c>
      <c r="C115" s="3" t="inlineStr">
        <is>
          <t>Not found</t>
        </is>
      </c>
      <c r="D115" s="2" t="inlineStr">
        <is>
          <t>USD bn</t>
        </is>
      </c>
      <c r="E115" s="2" t="inlineStr">
        <is>
          <t>SEC fact unavailable in captured data</t>
        </is>
      </c>
      <c r="F115" s="2" t="inlineStr">
        <is>
          <t>CommercialPaper</t>
        </is>
      </c>
      <c r="G115" s="2" t="inlineStr">
        <is>
          <t>0001045810-26-000021; no FY2026 fact identified; not treated as zero</t>
        </is>
      </c>
    </row>
    <row r="116">
      <c r="A116" s="2" t="inlineStr">
        <is>
          <t>SEC fact</t>
        </is>
      </c>
      <c r="B116" s="2" t="inlineStr">
        <is>
          <t>NVDA_CashInvestments_FY2026</t>
        </is>
      </c>
      <c r="C116" s="20">
        <f>'Inputs'!$C$113</f>
        <v/>
      </c>
      <c r="D116" s="2" t="inlineStr">
        <is>
          <t>USD bn</t>
        </is>
      </c>
      <c r="E116" s="2" t="inlineStr">
        <is>
          <t>Derived from traced SEC facts</t>
        </is>
      </c>
      <c r="F116" s="2" t="inlineStr">
        <is>
          <t>CashAndCashEquivalentsAtCarryingValue only; FY2026 investments not found</t>
        </is>
      </c>
      <c r="G116" s="2" t="inlineStr">
        <is>
          <t>0001045810-26-000021</t>
        </is>
      </c>
    </row>
    <row r="117">
      <c r="A117" s="2" t="inlineStr">
        <is>
          <t>SEC fact</t>
        </is>
      </c>
      <c r="B117" s="2" t="inlineStr">
        <is>
          <t>TSLA_Revenue_FY2025</t>
        </is>
      </c>
      <c r="C117" s="20" t="n">
        <v>94.827</v>
      </c>
      <c r="D117" s="2" t="inlineStr">
        <is>
          <t>USD bn</t>
        </is>
      </c>
      <c r="E117" s="2" t="inlineStr">
        <is>
          <t>Traced SEC fact</t>
        </is>
      </c>
      <c r="F117" s="2" t="inlineStr">
        <is>
          <t>Revenues (selected; same value also present under RevenueFromContractWithCustomerExcludingAssessedTax)</t>
        </is>
      </c>
      <c r="G117" s="2" t="inlineStr">
        <is>
          <t>0001628280-26-003952; FY2025-12-31; duplicate-looking equal-valued tag identified in capture</t>
        </is>
      </c>
    </row>
    <row r="118">
      <c r="A118" s="2" t="inlineStr">
        <is>
          <t>SEC fact</t>
        </is>
      </c>
      <c r="B118" s="2" t="inlineStr">
        <is>
          <t>TSLA_EBIT_FY2025</t>
        </is>
      </c>
      <c r="C118" s="20" t="n">
        <v>4.355</v>
      </c>
      <c r="D118" s="2" t="inlineStr">
        <is>
          <t>USD bn</t>
        </is>
      </c>
      <c r="E118" s="2" t="inlineStr">
        <is>
          <t>Traced SEC fact</t>
        </is>
      </c>
      <c r="F118" s="2" t="inlineStr">
        <is>
          <t>OperatingIncomeLoss</t>
        </is>
      </c>
      <c r="G118" s="2" t="inlineStr">
        <is>
          <t>0001628280-26-003952</t>
        </is>
      </c>
    </row>
    <row r="119">
      <c r="A119" s="2" t="inlineStr">
        <is>
          <t>SEC fact</t>
        </is>
      </c>
      <c r="B119" s="2" t="inlineStr">
        <is>
          <t>TSLA_Depreciation_FY2025</t>
        </is>
      </c>
      <c r="C119" s="20" t="n">
        <v>5.03</v>
      </c>
      <c r="D119" s="2" t="inlineStr">
        <is>
          <t>USD bn</t>
        </is>
      </c>
      <c r="E119" s="2" t="inlineStr">
        <is>
          <t>Traced SEC fact</t>
        </is>
      </c>
      <c r="F119" s="2" t="inlineStr">
        <is>
          <t>Depreciation</t>
        </is>
      </c>
      <c r="G119" s="2" t="inlineStr">
        <is>
          <t>0001628280-26-003952</t>
        </is>
      </c>
    </row>
    <row r="120">
      <c r="A120" s="2" t="inlineStr">
        <is>
          <t>SEC fact</t>
        </is>
      </c>
      <c r="B120" s="2" t="inlineStr">
        <is>
          <t>TSLA_NetIncome_FY2025</t>
        </is>
      </c>
      <c r="C120" s="20" t="n">
        <v>3.794</v>
      </c>
      <c r="D120" s="2" t="inlineStr">
        <is>
          <t>USD bn</t>
        </is>
      </c>
      <c r="E120" s="2" t="inlineStr">
        <is>
          <t>Traced SEC fact</t>
        </is>
      </c>
      <c r="F120" s="2" t="inlineStr">
        <is>
          <t>NetIncomeLoss</t>
        </is>
      </c>
      <c r="G120" s="2" t="inlineStr">
        <is>
          <t>0001628280-26-003952</t>
        </is>
      </c>
    </row>
    <row r="121">
      <c r="A121" s="2" t="inlineStr">
        <is>
          <t>SEC fact</t>
        </is>
      </c>
      <c r="B121" s="2" t="inlineStr">
        <is>
          <t>TSLA_Debt_identified_FY2025</t>
        </is>
      </c>
      <c r="C121" s="20">
        <f>SUM('Inputs'!$C$149,'Inputs'!$C$150)</f>
        <v/>
      </c>
      <c r="D121" s="2" t="inlineStr">
        <is>
          <t>USD bn</t>
        </is>
      </c>
      <c r="E121" s="2" t="inlineStr">
        <is>
          <t>Derived from traced SEC facts</t>
        </is>
      </c>
      <c r="F121" s="2" t="inlineStr">
        <is>
          <t>DebtCurrent + LongTermDebt</t>
        </is>
      </c>
      <c r="G121" s="2" t="inlineStr">
        <is>
          <t>0001628280-26-003952</t>
        </is>
      </c>
    </row>
    <row r="122">
      <c r="A122" s="2" t="inlineStr">
        <is>
          <t>SEC fact</t>
        </is>
      </c>
      <c r="B122" s="2" t="inlineStr">
        <is>
          <t>TSLA_CashInvestments_FY2025</t>
        </is>
      </c>
      <c r="C122" s="20">
        <f>SUM('Inputs'!$C$147,'Inputs'!$C$148)</f>
        <v/>
      </c>
      <c r="D122" s="2" t="inlineStr">
        <is>
          <t>USD bn</t>
        </is>
      </c>
      <c r="E122" s="2" t="inlineStr">
        <is>
          <t>Derived from traced SEC facts</t>
        </is>
      </c>
      <c r="F122" s="2" t="inlineStr">
        <is>
          <t>CashAndCashEquivalentsAtCarryingValue + ShortTermInvestments</t>
        </is>
      </c>
      <c r="G122" s="2" t="inlineStr">
        <is>
          <t>0001628280-26-003952</t>
        </is>
      </c>
    </row>
    <row r="123">
      <c r="A123" s="2" t="inlineStr">
        <is>
          <t>SEC fact</t>
        </is>
      </c>
      <c r="B123" s="2" t="inlineStr">
        <is>
          <t>TSLA_CommercialPaper_FY2025</t>
        </is>
      </c>
      <c r="C123" s="3" t="inlineStr">
        <is>
          <t>Not found</t>
        </is>
      </c>
      <c r="D123" s="2" t="inlineStr">
        <is>
          <t>USD bn</t>
        </is>
      </c>
      <c r="E123" s="2" t="inlineStr">
        <is>
          <t>SEC fact unavailable in captured data</t>
        </is>
      </c>
      <c r="F123" s="2" t="inlineStr">
        <is>
          <t>CommercialPaper</t>
        </is>
      </c>
      <c r="G123" s="2" t="inlineStr">
        <is>
          <t>0001628280-26-003952; no fact identified; not treated as zero</t>
        </is>
      </c>
    </row>
    <row r="124">
      <c r="A124" s="2" t="inlineStr">
        <is>
          <t>External market input</t>
        </is>
      </c>
      <c r="B124" s="2" t="inlineStr">
        <is>
          <t>GOOGL_SharePrice</t>
        </is>
      </c>
      <c r="C124" s="20" t="n">
        <v>348.29</v>
      </c>
      <c r="D124" s="2" t="inlineStr">
        <is>
          <t>USD/share</t>
        </is>
      </c>
      <c r="E124" s="2" t="inlineStr">
        <is>
          <t>External; not SEC fact</t>
        </is>
      </c>
      <c r="F124" s="2" t="inlineStr">
        <is>
          <t>User supplied close</t>
        </is>
      </c>
      <c r="G124" s="2" t="inlineStr">
        <is>
          <t>2026-10-08</t>
        </is>
      </c>
    </row>
    <row r="125">
      <c r="A125" s="2" t="inlineStr">
        <is>
          <t>External market input</t>
        </is>
      </c>
      <c r="B125" s="2" t="inlineStr">
        <is>
          <t>GOOGL_MarketCap</t>
        </is>
      </c>
      <c r="C125" s="20" t="n">
        <v>4260</v>
      </c>
      <c r="D125" s="2" t="inlineStr">
        <is>
          <t>USD bn</t>
        </is>
      </c>
      <c r="E125" s="2" t="inlineStr">
        <is>
          <t>External; not SEC fact</t>
        </is>
      </c>
      <c r="F125" s="2" t="inlineStr">
        <is>
          <t>User supplied market cap</t>
        </is>
      </c>
      <c r="G125" s="2" t="inlineStr">
        <is>
          <t>2026-10-08</t>
        </is>
      </c>
    </row>
    <row r="126">
      <c r="A126" s="2" t="inlineStr">
        <is>
          <t>External market input</t>
        </is>
      </c>
      <c r="B126" s="2" t="inlineStr">
        <is>
          <t>AMZN_SharePrice</t>
        </is>
      </c>
      <c r="C126" s="20" t="n">
        <v>254.06</v>
      </c>
      <c r="D126" s="2" t="inlineStr">
        <is>
          <t>USD/share</t>
        </is>
      </c>
      <c r="E126" s="2" t="inlineStr">
        <is>
          <t>External; not SEC fact</t>
        </is>
      </c>
      <c r="F126" s="2" t="inlineStr">
        <is>
          <t>User supplied close</t>
        </is>
      </c>
      <c r="G126" s="2" t="inlineStr">
        <is>
          <t>2026-10-08</t>
        </is>
      </c>
    </row>
    <row r="127">
      <c r="A127" s="2" t="inlineStr">
        <is>
          <t>External market input</t>
        </is>
      </c>
      <c r="B127" s="2" t="inlineStr">
        <is>
          <t>AMZN_MarketCap</t>
        </is>
      </c>
      <c r="C127" s="20" t="n">
        <v>2740</v>
      </c>
      <c r="D127" s="2" t="inlineStr">
        <is>
          <t>USD bn</t>
        </is>
      </c>
      <c r="E127" s="2" t="inlineStr">
        <is>
          <t>External; not SEC fact</t>
        </is>
      </c>
      <c r="F127" s="2" t="inlineStr">
        <is>
          <t>User supplied market cap</t>
        </is>
      </c>
      <c r="G127" s="2" t="inlineStr">
        <is>
          <t>2026-10-08</t>
        </is>
      </c>
    </row>
    <row r="128">
      <c r="A128" s="2" t="inlineStr">
        <is>
          <t>External market input</t>
        </is>
      </c>
      <c r="B128" s="2" t="inlineStr">
        <is>
          <t>META_SharePrice</t>
        </is>
      </c>
      <c r="C128" s="20" t="n">
        <v>720.89</v>
      </c>
      <c r="D128" s="2" t="inlineStr">
        <is>
          <t>USD/share</t>
        </is>
      </c>
      <c r="E128" s="2" t="inlineStr">
        <is>
          <t>External; not SEC fact</t>
        </is>
      </c>
      <c r="F128" s="2" t="inlineStr">
        <is>
          <t>User supplied close</t>
        </is>
      </c>
      <c r="G128" s="2" t="inlineStr">
        <is>
          <t>2026-10-08</t>
        </is>
      </c>
    </row>
    <row r="129">
      <c r="A129" s="2" t="inlineStr">
        <is>
          <t>External market input</t>
        </is>
      </c>
      <c r="B129" s="2" t="inlineStr">
        <is>
          <t>META_MarketCap</t>
        </is>
      </c>
      <c r="C129" s="20" t="n">
        <v>1840</v>
      </c>
      <c r="D129" s="2" t="inlineStr">
        <is>
          <t>USD bn</t>
        </is>
      </c>
      <c r="E129" s="2" t="inlineStr">
        <is>
          <t>External; not SEC fact</t>
        </is>
      </c>
      <c r="F129" s="2" t="inlineStr">
        <is>
          <t>User supplied market cap</t>
        </is>
      </c>
      <c r="G129" s="2" t="inlineStr">
        <is>
          <t>2026-10-08</t>
        </is>
      </c>
    </row>
    <row r="130">
      <c r="A130" s="2" t="inlineStr">
        <is>
          <t>External market input</t>
        </is>
      </c>
      <c r="B130" s="2" t="inlineStr">
        <is>
          <t>NVDA_SharePrice</t>
        </is>
      </c>
      <c r="C130" s="20" t="n">
        <v>230.48</v>
      </c>
      <c r="D130" s="2" t="inlineStr">
        <is>
          <t>USD/share</t>
        </is>
      </c>
      <c r="E130" s="2" t="inlineStr">
        <is>
          <t>External; not SEC fact</t>
        </is>
      </c>
      <c r="F130" s="2" t="inlineStr">
        <is>
          <t>User supplied close (split-adjusted)</t>
        </is>
      </c>
      <c r="G130" s="2" t="inlineStr">
        <is>
          <t>2026-10-08</t>
        </is>
      </c>
    </row>
    <row r="131">
      <c r="A131" s="2" t="inlineStr">
        <is>
          <t>External market input</t>
        </is>
      </c>
      <c r="B131" s="2" t="inlineStr">
        <is>
          <t>NVDA_MarketCap</t>
        </is>
      </c>
      <c r="C131" s="20" t="n">
        <v>5730</v>
      </c>
      <c r="D131" s="2" t="inlineStr">
        <is>
          <t>USD bn</t>
        </is>
      </c>
      <c r="E131" s="2" t="inlineStr">
        <is>
          <t>External; not SEC fact</t>
        </is>
      </c>
      <c r="F131" s="2" t="inlineStr">
        <is>
          <t>User supplied market cap (split-adjusted)</t>
        </is>
      </c>
      <c r="G131" s="2" t="inlineStr">
        <is>
          <t>2026-10-08</t>
        </is>
      </c>
    </row>
    <row r="132">
      <c r="A132" s="2" t="inlineStr">
        <is>
          <t>External market input</t>
        </is>
      </c>
      <c r="B132" s="2" t="inlineStr">
        <is>
          <t>TSLA_SharePrice</t>
        </is>
      </c>
      <c r="C132" s="20" t="n">
        <v>375</v>
      </c>
      <c r="D132" s="2" t="inlineStr">
        <is>
          <t>USD/share</t>
        </is>
      </c>
      <c r="E132" s="2" t="inlineStr">
        <is>
          <t>External; not SEC fact</t>
        </is>
      </c>
      <c r="F132" s="2" t="inlineStr">
        <is>
          <t>User supplied close</t>
        </is>
      </c>
      <c r="G132" s="2" t="inlineStr">
        <is>
          <t>2026-10-08</t>
        </is>
      </c>
    </row>
    <row r="133">
      <c r="A133" s="2" t="inlineStr">
        <is>
          <t>External market input</t>
        </is>
      </c>
      <c r="B133" s="2" t="inlineStr">
        <is>
          <t>TSLA_MarketCap</t>
        </is>
      </c>
      <c r="C133" s="20" t="n">
        <v>1490</v>
      </c>
      <c r="D133" s="2" t="inlineStr">
        <is>
          <t>USD bn</t>
        </is>
      </c>
      <c r="E133" s="2" t="inlineStr">
        <is>
          <t>External; not SEC fact</t>
        </is>
      </c>
      <c r="F133" s="2" t="inlineStr">
        <is>
          <t>User supplied market cap</t>
        </is>
      </c>
      <c r="G133" s="2" t="inlineStr">
        <is>
          <t>2026-10-08</t>
        </is>
      </c>
    </row>
    <row r="134">
      <c r="A134" s="2" t="inlineStr">
        <is>
          <t>SEC fact</t>
        </is>
      </c>
      <c r="B134" s="2" t="inlineStr">
        <is>
          <t>MSFT_CommercialPaper_FY2026</t>
        </is>
      </c>
      <c r="C134" s="3" t="inlineStr">
        <is>
          <t>Not found</t>
        </is>
      </c>
      <c r="D134" s="2" t="inlineStr">
        <is>
          <t>USD bn</t>
        </is>
      </c>
      <c r="E134" s="2" t="inlineStr">
        <is>
          <t>SEC fact unavailable in captured data</t>
        </is>
      </c>
      <c r="F134" s="2" t="inlineStr">
        <is>
          <t>CommercialPaper</t>
        </is>
      </c>
      <c r="G134" s="2" t="inlineStr">
        <is>
          <t>0001193125-26-323660; no fact identified; not treated as zero</t>
        </is>
      </c>
    </row>
    <row r="135">
      <c r="A135" s="2" t="inlineStr">
        <is>
          <t>SEC fact</t>
        </is>
      </c>
      <c r="B135" s="2" t="inlineStr">
        <is>
          <t>GOOGL_CashCashEquivalentsAndShortTermInvestments_FY2025</t>
        </is>
      </c>
      <c r="C135" s="20" t="n">
        <v>126.843</v>
      </c>
      <c r="D135" s="2" t="inlineStr">
        <is>
          <t>USD bn</t>
        </is>
      </c>
      <c r="E135" s="2" t="inlineStr">
        <is>
          <t>Traced SEC fact</t>
        </is>
      </c>
      <c r="F135" s="2" t="inlineStr">
        <is>
          <t>CashCashEquivalentsAndShortTermInvestments</t>
        </is>
      </c>
      <c r="G135" s="2" t="inlineStr">
        <is>
          <t>0001652044-26-000018</t>
        </is>
      </c>
    </row>
    <row r="136">
      <c r="A136" s="2" t="inlineStr">
        <is>
          <t>SEC fact</t>
        </is>
      </c>
      <c r="B136" s="2" t="inlineStr">
        <is>
          <t>GOOGL_OtherLongTermInvestments_FY2025</t>
        </is>
      </c>
      <c r="C136" s="20" t="n">
        <v>68.687</v>
      </c>
      <c r="D136" s="2" t="inlineStr">
        <is>
          <t>USD bn</t>
        </is>
      </c>
      <c r="E136" s="2" t="inlineStr">
        <is>
          <t>Traced SEC fact</t>
        </is>
      </c>
      <c r="F136" s="2" t="inlineStr">
        <is>
          <t>OtherLongTermInvestments</t>
        </is>
      </c>
      <c r="G136" s="2" t="inlineStr">
        <is>
          <t>0001652044-26-000018</t>
        </is>
      </c>
    </row>
    <row r="137">
      <c r="A137" s="2" t="inlineStr">
        <is>
          <t>SEC fact</t>
        </is>
      </c>
      <c r="B137" s="2" t="inlineStr">
        <is>
          <t>GOOGL_LongTermDebtCurrent_FY2025</t>
        </is>
      </c>
      <c r="C137" s="20" t="n">
        <v>1.996</v>
      </c>
      <c r="D137" s="2" t="inlineStr">
        <is>
          <t>USD bn</t>
        </is>
      </c>
      <c r="E137" s="2" t="inlineStr">
        <is>
          <t>Traced SEC fact</t>
        </is>
      </c>
      <c r="F137" s="2" t="inlineStr">
        <is>
          <t>LongTermDebtCurrent</t>
        </is>
      </c>
      <c r="G137" s="2" t="inlineStr">
        <is>
          <t>0001652044-26-000018</t>
        </is>
      </c>
    </row>
    <row r="138">
      <c r="A138" s="2" t="inlineStr">
        <is>
          <t>SEC fact</t>
        </is>
      </c>
      <c r="B138" s="2" t="inlineStr">
        <is>
          <t>GOOGL_LongTermDebtNoncurrent_FY2025</t>
        </is>
      </c>
      <c r="C138" s="20" t="n">
        <v>46.547</v>
      </c>
      <c r="D138" s="2" t="inlineStr">
        <is>
          <t>USD bn</t>
        </is>
      </c>
      <c r="E138" s="2" t="inlineStr">
        <is>
          <t>Traced SEC fact</t>
        </is>
      </c>
      <c r="F138" s="2" t="inlineStr">
        <is>
          <t>LongTermDebtNoncurrent</t>
        </is>
      </c>
      <c r="G138" s="2" t="inlineStr">
        <is>
          <t>0001652044-26-000018</t>
        </is>
      </c>
    </row>
    <row r="139">
      <c r="A139" s="2" t="inlineStr">
        <is>
          <t>SEC fact</t>
        </is>
      </c>
      <c r="B139" s="2" t="inlineStr">
        <is>
          <t>AMZN_CashAndCashEquivalentsAtCarryingValue_FY2025</t>
        </is>
      </c>
      <c r="C139" s="20" t="n">
        <v>86.81</v>
      </c>
      <c r="D139" s="2" t="inlineStr">
        <is>
          <t>USD bn</t>
        </is>
      </c>
      <c r="E139" s="2" t="inlineStr">
        <is>
          <t>Traced SEC fact</t>
        </is>
      </c>
      <c r="F139" s="2" t="inlineStr">
        <is>
          <t>CashAndCashEquivalentsAtCarryingValue</t>
        </is>
      </c>
      <c r="G139" s="2" t="inlineStr">
        <is>
          <t>0001018724-26-000004</t>
        </is>
      </c>
    </row>
    <row r="140">
      <c r="A140" s="2" t="inlineStr">
        <is>
          <t>SEC fact</t>
        </is>
      </c>
      <c r="B140" s="2" t="inlineStr">
        <is>
          <t>AMZN_MarketableSecuritiesCurrent_FY2025</t>
        </is>
      </c>
      <c r="C140" s="20" t="n">
        <v>36.219</v>
      </c>
      <c r="D140" s="2" t="inlineStr">
        <is>
          <t>USD bn</t>
        </is>
      </c>
      <c r="E140" s="2" t="inlineStr">
        <is>
          <t>Traced SEC fact</t>
        </is>
      </c>
      <c r="F140" s="2" t="inlineStr">
        <is>
          <t>MarketableSecuritiesCurrent</t>
        </is>
      </c>
      <c r="G140" s="2" t="inlineStr">
        <is>
          <t>0001018724-26-000004</t>
        </is>
      </c>
    </row>
    <row r="141">
      <c r="A141" s="2" t="inlineStr">
        <is>
          <t>SEC fact</t>
        </is>
      </c>
      <c r="B141" s="2" t="inlineStr">
        <is>
          <t>AMZN_LongTermDebtCurrent_FY2025</t>
        </is>
      </c>
      <c r="C141" s="20" t="n">
        <v>2.748</v>
      </c>
      <c r="D141" s="2" t="inlineStr">
        <is>
          <t>USD bn</t>
        </is>
      </c>
      <c r="E141" s="2" t="inlineStr">
        <is>
          <t>Traced SEC fact</t>
        </is>
      </c>
      <c r="F141" s="2" t="inlineStr">
        <is>
          <t>LongTermDebtCurrent</t>
        </is>
      </c>
      <c r="G141" s="2" t="inlineStr">
        <is>
          <t>0001018724-26-000004</t>
        </is>
      </c>
    </row>
    <row r="142">
      <c r="A142" s="2" t="inlineStr">
        <is>
          <t>SEC fact</t>
        </is>
      </c>
      <c r="B142" s="2" t="inlineStr">
        <is>
          <t>AMZN_LongTermDebtNoncurrent_FY2025</t>
        </is>
      </c>
      <c r="C142" s="20" t="n">
        <v>65.648</v>
      </c>
      <c r="D142" s="2" t="inlineStr">
        <is>
          <t>USD bn</t>
        </is>
      </c>
      <c r="E142" s="2" t="inlineStr">
        <is>
          <t>Traced SEC fact</t>
        </is>
      </c>
      <c r="F142" s="2" t="inlineStr">
        <is>
          <t>LongTermDebtNoncurrent</t>
        </is>
      </c>
      <c r="G142" s="2" t="inlineStr">
        <is>
          <t>0001018724-26-000004</t>
        </is>
      </c>
    </row>
    <row r="143">
      <c r="A143" s="2" t="inlineStr">
        <is>
          <t>SEC fact</t>
        </is>
      </c>
      <c r="B143" s="2" t="inlineStr">
        <is>
          <t>META_CashAndCashEquivalentsAtCarryingValue_FY2025</t>
        </is>
      </c>
      <c r="C143" s="20" t="n">
        <v>35.873</v>
      </c>
      <c r="D143" s="2" t="inlineStr">
        <is>
          <t>USD bn</t>
        </is>
      </c>
      <c r="E143" s="2" t="inlineStr">
        <is>
          <t>Traced SEC fact</t>
        </is>
      </c>
      <c r="F143" s="2" t="inlineStr">
        <is>
          <t>CashAndCashEquivalentsAtCarryingValue</t>
        </is>
      </c>
      <c r="G143" s="2" t="inlineStr">
        <is>
          <t>0001628280-26-003942</t>
        </is>
      </c>
    </row>
    <row r="144">
      <c r="A144" s="2" t="inlineStr">
        <is>
          <t>SEC fact</t>
        </is>
      </c>
      <c r="B144" s="2" t="inlineStr">
        <is>
          <t>META_MarketableSecuritiesCurrent_FY2025</t>
        </is>
      </c>
      <c r="C144" s="20" t="n">
        <v>45.719</v>
      </c>
      <c r="D144" s="2" t="inlineStr">
        <is>
          <t>USD bn</t>
        </is>
      </c>
      <c r="E144" s="2" t="inlineStr">
        <is>
          <t>Traced SEC fact</t>
        </is>
      </c>
      <c r="F144" s="2" t="inlineStr">
        <is>
          <t>MarketableSecuritiesCurrent</t>
        </is>
      </c>
      <c r="G144" s="2" t="inlineStr">
        <is>
          <t>0001628280-26-003942</t>
        </is>
      </c>
    </row>
    <row r="145">
      <c r="A145" s="2" t="inlineStr">
        <is>
          <t>SEC fact</t>
        </is>
      </c>
      <c r="B145" s="2" t="inlineStr">
        <is>
          <t>NVDA_DebtCurrent_FY2026</t>
        </is>
      </c>
      <c r="C145" s="20" t="n">
        <v>0.999</v>
      </c>
      <c r="D145" s="2" t="inlineStr">
        <is>
          <t>USD bn</t>
        </is>
      </c>
      <c r="E145" s="2" t="inlineStr">
        <is>
          <t>Traced SEC fact</t>
        </is>
      </c>
      <c r="F145" s="2" t="inlineStr">
        <is>
          <t>DebtCurrent</t>
        </is>
      </c>
      <c r="G145" s="2" t="inlineStr">
        <is>
          <t>0001045810-26-000021</t>
        </is>
      </c>
    </row>
    <row r="146">
      <c r="A146" s="2" t="inlineStr">
        <is>
          <t>SEC fact</t>
        </is>
      </c>
      <c r="B146" s="2" t="inlineStr">
        <is>
          <t>NVDA_LongTermDebtNoncurrent_FY2026</t>
        </is>
      </c>
      <c r="C146" s="20" t="n">
        <v>7.469</v>
      </c>
      <c r="D146" s="2" t="inlineStr">
        <is>
          <t>USD bn</t>
        </is>
      </c>
      <c r="E146" s="2" t="inlineStr">
        <is>
          <t>Traced SEC fact</t>
        </is>
      </c>
      <c r="F146" s="2" t="inlineStr">
        <is>
          <t>LongTermDebtNoncurrent</t>
        </is>
      </c>
      <c r="G146" s="2" t="inlineStr">
        <is>
          <t>0001045810-26-000021</t>
        </is>
      </c>
    </row>
    <row r="147">
      <c r="A147" s="2" t="inlineStr">
        <is>
          <t>SEC fact</t>
        </is>
      </c>
      <c r="B147" s="2" t="inlineStr">
        <is>
          <t>TSLA_CashAndCashEquivalentsAtCarryingValue_FY2025</t>
        </is>
      </c>
      <c r="C147" s="20" t="n">
        <v>16.513</v>
      </c>
      <c r="D147" s="2" t="inlineStr">
        <is>
          <t>USD bn</t>
        </is>
      </c>
      <c r="E147" s="2" t="inlineStr">
        <is>
          <t>Traced SEC fact</t>
        </is>
      </c>
      <c r="F147" s="2" t="inlineStr">
        <is>
          <t>CashAndCashEquivalentsAtCarryingValue</t>
        </is>
      </c>
      <c r="G147" s="2" t="inlineStr">
        <is>
          <t>0001628280-26-003952</t>
        </is>
      </c>
    </row>
    <row r="148">
      <c r="A148" s="2" t="inlineStr">
        <is>
          <t>SEC fact</t>
        </is>
      </c>
      <c r="B148" s="2" t="inlineStr">
        <is>
          <t>TSLA_ShortTermInvestments_FY2025</t>
        </is>
      </c>
      <c r="C148" s="20" t="n">
        <v>27.546</v>
      </c>
      <c r="D148" s="2" t="inlineStr">
        <is>
          <t>USD bn</t>
        </is>
      </c>
      <c r="E148" s="2" t="inlineStr">
        <is>
          <t>Traced SEC fact</t>
        </is>
      </c>
      <c r="F148" s="2" t="inlineStr">
        <is>
          <t>ShortTermInvestments</t>
        </is>
      </c>
      <c r="G148" s="2" t="inlineStr">
        <is>
          <t>0001628280-26-003952</t>
        </is>
      </c>
    </row>
    <row r="149">
      <c r="A149" s="2" t="inlineStr">
        <is>
          <t>SEC fact</t>
        </is>
      </c>
      <c r="B149" s="2" t="inlineStr">
        <is>
          <t>TSLA_DebtCurrent_FY2025</t>
        </is>
      </c>
      <c r="C149" s="20" t="n">
        <v>1.569</v>
      </c>
      <c r="D149" s="2" t="inlineStr">
        <is>
          <t>USD bn</t>
        </is>
      </c>
      <c r="E149" s="2" t="inlineStr">
        <is>
          <t>Traced SEC fact</t>
        </is>
      </c>
      <c r="F149" s="2" t="inlineStr">
        <is>
          <t>DebtCurrent</t>
        </is>
      </c>
      <c r="G149" s="2" t="inlineStr">
        <is>
          <t>0001628280-26-003952</t>
        </is>
      </c>
    </row>
    <row r="150">
      <c r="A150" s="2" t="inlineStr">
        <is>
          <t>SEC fact</t>
        </is>
      </c>
      <c r="B150" s="2" t="inlineStr">
        <is>
          <t>TSLA_LongTermDebt_FY2025</t>
        </is>
      </c>
      <c r="C150" s="20" t="n">
        <v>6.584</v>
      </c>
      <c r="D150" s="2" t="inlineStr">
        <is>
          <t>USD bn</t>
        </is>
      </c>
      <c r="E150" s="2" t="inlineStr">
        <is>
          <t>Traced SEC fact</t>
        </is>
      </c>
      <c r="F150" s="2" t="inlineStr">
        <is>
          <t>LongTermDebt</t>
        </is>
      </c>
      <c r="G150" s="2" t="inlineStr">
        <is>
          <t>0001628280-26-003952</t>
        </is>
      </c>
    </row>
    <row r="151">
      <c r="A151" s="2" t="inlineStr">
        <is>
          <t>SEC fact</t>
        </is>
      </c>
      <c r="B151" s="2" t="inlineStr">
        <is>
          <t>NVDA_DilutedShares_FY2026</t>
        </is>
      </c>
      <c r="C151" s="20" t="n">
        <v>24.514</v>
      </c>
      <c r="D151" s="2" t="inlineStr">
        <is>
          <t>shares bn</t>
        </is>
      </c>
      <c r="E151" s="2" t="inlineStr">
        <is>
          <t>Traced SEC fact; split-adjusted count used; no pre-split count included</t>
        </is>
      </c>
      <c r="F151" s="2" t="inlineStr">
        <is>
          <t>WeightedAverageNumberOfDilutedSharesOutstanding</t>
        </is>
      </c>
      <c r="G151" s="2" t="inlineStr">
        <is>
          <t>0001045810-26-000021</t>
        </is>
      </c>
    </row>
  </sheetData>
  <autoFilter ref="A1:G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DCF — USD bn except per-share values</t>
        </is>
      </c>
      <c r="B1" s="1" t="n"/>
      <c r="C1" s="1" t="n"/>
      <c r="D1" s="1" t="n"/>
      <c r="E1" s="1" t="n"/>
      <c r="F1" s="1" t="n"/>
    </row>
    <row r="2">
      <c r="A2" s="2" t="inlineStr">
        <is>
          <t>WACC build</t>
        </is>
      </c>
      <c r="B2" s="2" t="inlineStr">
        <is>
          <t>Value</t>
        </is>
      </c>
      <c r="C2" s="2" t="n"/>
      <c r="D2" s="2" t="n"/>
      <c r="E2" s="2" t="n"/>
      <c r="F2" s="2" t="n"/>
    </row>
    <row r="3">
      <c r="A3" s="4" t="inlineStr">
        <is>
          <t>Cost of equity</t>
        </is>
      </c>
      <c r="B3" s="11">
        <f>'Inputs'!$C$47+'Inputs'!$C$48*'Inputs'!$C$49</f>
        <v/>
      </c>
      <c r="C3" s="4" t="n"/>
      <c r="D3" s="4" t="n"/>
      <c r="E3" s="4" t="n"/>
      <c r="F3" s="4" t="n"/>
    </row>
    <row r="4">
      <c r="A4" s="4" t="inlineStr">
        <is>
          <t>Cost of debt pretax</t>
        </is>
      </c>
      <c r="B4" s="11">
        <f>'Inputs'!$C$47+'Inputs'!$C$50</f>
        <v/>
      </c>
      <c r="C4" s="4" t="n"/>
      <c r="D4" s="4" t="n"/>
      <c r="E4" s="4" t="n"/>
      <c r="F4" s="4" t="n"/>
    </row>
    <row r="5">
      <c r="A5" s="4" t="inlineStr">
        <is>
          <t>Cost of debt aftertax</t>
        </is>
      </c>
      <c r="B5" s="11">
        <f>B4*(1-'Inputs'!$C$51)</f>
        <v/>
      </c>
      <c r="C5" s="4" t="n"/>
      <c r="D5" s="4" t="n"/>
      <c r="E5" s="4" t="n"/>
      <c r="F5" s="4" t="n"/>
    </row>
    <row r="6">
      <c r="A6" s="4" t="inlineStr">
        <is>
          <t>Market equity</t>
        </is>
      </c>
      <c r="B6" s="12">
        <f>'Inputs'!$C$44</f>
        <v/>
      </c>
      <c r="C6" s="4" t="n"/>
      <c r="D6" s="4" t="n"/>
      <c r="E6" s="4" t="n"/>
      <c r="F6" s="4" t="n"/>
    </row>
    <row r="7">
      <c r="A7" s="4" t="inlineStr">
        <is>
          <t>Total debt</t>
        </is>
      </c>
      <c r="B7" s="12">
        <f>'Inputs'!$C$29+'Inputs'!$C$30+'Inputs'!$C$31</f>
        <v/>
      </c>
      <c r="C7" s="4" t="n"/>
      <c r="D7" s="4" t="n"/>
      <c r="E7" s="4" t="n"/>
      <c r="F7" s="4" t="n"/>
    </row>
    <row r="8">
      <c r="A8" s="4" t="inlineStr">
        <is>
          <t>Equity weight</t>
        </is>
      </c>
      <c r="B8" s="11">
        <f>B6/(B6+B7)</f>
        <v/>
      </c>
      <c r="C8" s="4" t="n"/>
      <c r="D8" s="4" t="n"/>
      <c r="E8" s="4" t="n"/>
      <c r="F8" s="4" t="n"/>
    </row>
    <row r="9">
      <c r="A9" s="4" t="inlineStr">
        <is>
          <t>Debt weight</t>
        </is>
      </c>
      <c r="B9" s="11">
        <f>B7/(B6+B7)</f>
        <v/>
      </c>
      <c r="C9" s="4" t="n"/>
      <c r="D9" s="4" t="n"/>
      <c r="E9" s="4" t="n"/>
      <c r="F9" s="4" t="n"/>
    </row>
    <row r="10">
      <c r="A10" s="4" t="inlineStr">
        <is>
          <t>WACC</t>
        </is>
      </c>
      <c r="B10" s="11">
        <f>B3*B8+B5*B9</f>
        <v/>
      </c>
      <c r="C10" s="4" t="n"/>
      <c r="D10" s="4" t="n"/>
      <c r="E10" s="4" t="n"/>
      <c r="F10" s="4" t="n"/>
    </row>
    <row r="11">
      <c r="A11" s="4" t="inlineStr">
        <is>
          <t>Forecast</t>
        </is>
      </c>
      <c r="B11" s="4" t="inlineStr">
        <is>
          <t>Year 1</t>
        </is>
      </c>
      <c r="C11" s="4" t="inlineStr">
        <is>
          <t>Year 2</t>
        </is>
      </c>
      <c r="D11" s="4" t="inlineStr">
        <is>
          <t>Year 3</t>
        </is>
      </c>
      <c r="E11" s="4" t="inlineStr">
        <is>
          <t>Year 4</t>
        </is>
      </c>
      <c r="F11" s="4" t="inlineStr">
        <is>
          <t>Year 5</t>
        </is>
      </c>
    </row>
    <row r="12">
      <c r="A12" s="4" t="inlineStr">
        <is>
          <t>Fiscal year</t>
        </is>
      </c>
      <c r="B12" s="4" t="n">
        <v>2026</v>
      </c>
      <c r="C12" s="4" t="n">
        <v>2027</v>
      </c>
      <c r="D12" s="4" t="n">
        <v>2028</v>
      </c>
      <c r="E12" s="4" t="n">
        <v>2029</v>
      </c>
      <c r="F12" s="4" t="n">
        <v>2030</v>
      </c>
    </row>
    <row r="13">
      <c r="A13" s="4" t="inlineStr">
        <is>
          <t>Revenue growth</t>
        </is>
      </c>
      <c r="B13" s="12">
        <f>'Inputs'!$C$57</f>
        <v/>
      </c>
      <c r="C13" s="12">
        <f>'Inputs'!$C$58</f>
        <v/>
      </c>
      <c r="D13" s="12">
        <f>'Inputs'!$C$59</f>
        <v/>
      </c>
      <c r="E13" s="12">
        <f>'Inputs'!$C$60</f>
        <v/>
      </c>
      <c r="F13" s="12">
        <f>'Inputs'!$C$61</f>
        <v/>
      </c>
    </row>
    <row r="14">
      <c r="A14" s="4" t="inlineStr">
        <is>
          <t>Revenue</t>
        </is>
      </c>
      <c r="B14" s="12">
        <f>'Inputs'!$C$18*(1+B13)</f>
        <v/>
      </c>
      <c r="C14" s="12">
        <f>B14*(1+C13)</f>
        <v/>
      </c>
      <c r="D14" s="12">
        <f>C14*(1+D13)</f>
        <v/>
      </c>
      <c r="E14" s="12">
        <f>D14*(1+E13)</f>
        <v/>
      </c>
      <c r="F14" s="12">
        <f>E14*(1+F13)</f>
        <v/>
      </c>
    </row>
    <row r="15">
      <c r="A15" s="4" t="inlineStr">
        <is>
          <t>EBIT</t>
        </is>
      </c>
      <c r="B15" s="12">
        <f>B14*'Inputs'!$C$53</f>
        <v/>
      </c>
      <c r="C15" s="12">
        <f>C14*'Inputs'!$C$53</f>
        <v/>
      </c>
      <c r="D15" s="12">
        <f>D14*'Inputs'!$C$53</f>
        <v/>
      </c>
      <c r="E15" s="12">
        <f>E14*'Inputs'!$C$53</f>
        <v/>
      </c>
      <c r="F15" s="12">
        <f>F14*'Inputs'!$C$53</f>
        <v/>
      </c>
    </row>
    <row r="16">
      <c r="A16" s="4" t="inlineStr">
        <is>
          <t>Tax rate</t>
        </is>
      </c>
      <c r="B16" s="12">
        <f>'Inputs'!$C$51</f>
        <v/>
      </c>
      <c r="C16" s="12">
        <f>'Inputs'!$C$51</f>
        <v/>
      </c>
      <c r="D16" s="12">
        <f>'Inputs'!$C$51</f>
        <v/>
      </c>
      <c r="E16" s="12">
        <f>'Inputs'!$C$51</f>
        <v/>
      </c>
      <c r="F16" s="12">
        <f>'Inputs'!$C$51</f>
        <v/>
      </c>
    </row>
    <row r="17">
      <c r="A17" s="4" t="inlineStr">
        <is>
          <t>NOPAT</t>
        </is>
      </c>
      <c r="B17" s="12">
        <f>B15*(1-B16)</f>
        <v/>
      </c>
      <c r="C17" s="12">
        <f>C15*(1-C16)</f>
        <v/>
      </c>
      <c r="D17" s="12">
        <f>D15*(1-D16)</f>
        <v/>
      </c>
      <c r="E17" s="12">
        <f>E15*(1-E16)</f>
        <v/>
      </c>
      <c r="F17" s="12">
        <f>F15*(1-F16)</f>
        <v/>
      </c>
    </row>
    <row r="18">
      <c r="A18" s="4" t="inlineStr">
        <is>
          <t>D&amp;A</t>
        </is>
      </c>
      <c r="B18" s="12">
        <f>B14*'Inputs'!$C$54</f>
        <v/>
      </c>
      <c r="C18" s="12">
        <f>C14*'Inputs'!$C$54</f>
        <v/>
      </c>
      <c r="D18" s="12">
        <f>D14*'Inputs'!$C$54</f>
        <v/>
      </c>
      <c r="E18" s="12">
        <f>E14*'Inputs'!$C$54</f>
        <v/>
      </c>
      <c r="F18" s="12">
        <f>F14*'Inputs'!$C$54</f>
        <v/>
      </c>
    </row>
    <row r="19">
      <c r="A19" s="4" t="inlineStr">
        <is>
          <t>Capex</t>
        </is>
      </c>
      <c r="B19" s="12">
        <f>B14*'Inputs'!$C$55</f>
        <v/>
      </c>
      <c r="C19" s="12">
        <f>C14*'Inputs'!$C$55</f>
        <v/>
      </c>
      <c r="D19" s="12">
        <f>D14*'Inputs'!$C$55</f>
        <v/>
      </c>
      <c r="E19" s="12">
        <f>E14*'Inputs'!$C$55</f>
        <v/>
      </c>
      <c r="F19" s="12">
        <f>F14*'Inputs'!$C$55</f>
        <v/>
      </c>
    </row>
    <row r="20">
      <c r="A20" s="4" t="inlineStr">
        <is>
          <t>NWC</t>
        </is>
      </c>
      <c r="B20" s="12">
        <f>B14*'Inputs'!$C$56</f>
        <v/>
      </c>
      <c r="C20" s="12">
        <f>C14*'Inputs'!$C$56</f>
        <v/>
      </c>
      <c r="D20" s="12">
        <f>D14*'Inputs'!$C$56</f>
        <v/>
      </c>
      <c r="E20" s="12">
        <f>E14*'Inputs'!$C$56</f>
        <v/>
      </c>
      <c r="F20" s="12">
        <f>F14*'Inputs'!$C$56</f>
        <v/>
      </c>
    </row>
    <row r="21">
      <c r="A21" s="4" t="inlineStr">
        <is>
          <t>Change in NWC</t>
        </is>
      </c>
      <c r="B21" s="12">
        <f>B20-'Inputs'!$C$72</f>
        <v/>
      </c>
      <c r="C21" s="12">
        <f>C20-B20</f>
        <v/>
      </c>
      <c r="D21" s="12">
        <f>D20-C20</f>
        <v/>
      </c>
      <c r="E21" s="12">
        <f>E20-D20</f>
        <v/>
      </c>
      <c r="F21" s="12">
        <f>F20-E20</f>
        <v/>
      </c>
    </row>
    <row r="22">
      <c r="A22" s="4" t="inlineStr">
        <is>
          <t>UFCF</t>
        </is>
      </c>
      <c r="B22" s="12">
        <f>B17+B18-B19-B21</f>
        <v/>
      </c>
      <c r="C22" s="12">
        <f>C17+C18-C19-C21</f>
        <v/>
      </c>
      <c r="D22" s="12">
        <f>D17+D18-D19-D21</f>
        <v/>
      </c>
      <c r="E22" s="12">
        <f>E17+E18-E19-E21</f>
        <v/>
      </c>
      <c r="F22" s="12">
        <f>F17+F18-F19-F21</f>
        <v/>
      </c>
    </row>
    <row r="23">
      <c r="A23" s="4" t="inlineStr">
        <is>
          <t>PV of UFCF</t>
        </is>
      </c>
      <c r="B23" s="12">
        <f>B22/(1+$B$10)^1</f>
        <v/>
      </c>
      <c r="C23" s="12">
        <f>C22/(1+$B$10)^2</f>
        <v/>
      </c>
      <c r="D23" s="12">
        <f>D22/(1+$B$10)^3</f>
        <v/>
      </c>
      <c r="E23" s="12">
        <f>E22/(1+$B$10)^4</f>
        <v/>
      </c>
      <c r="F23" s="12">
        <f>F22/(1+$B$10)^5</f>
        <v/>
      </c>
    </row>
    <row r="24">
      <c r="A24" s="4" t="inlineStr">
        <is>
          <t>PV explicit FCF</t>
        </is>
      </c>
      <c r="B24" s="12">
        <f>SUM(B23:F23)</f>
        <v/>
      </c>
      <c r="C24" s="4" t="n"/>
      <c r="D24" s="4" t="n"/>
      <c r="E24" s="4" t="n"/>
      <c r="F24" s="4" t="n"/>
    </row>
    <row r="25">
      <c r="A25" s="4" t="inlineStr">
        <is>
          <t>Terminal growth</t>
        </is>
      </c>
      <c r="B25" s="11">
        <f>'Inputs'!$C$52</f>
        <v/>
      </c>
      <c r="C25" s="4" t="n"/>
      <c r="D25" s="4" t="n"/>
      <c r="E25" s="4" t="n"/>
      <c r="F25" s="4" t="n"/>
    </row>
    <row r="26">
      <c r="A26" s="4" t="inlineStr">
        <is>
          <t>Terminal value</t>
        </is>
      </c>
      <c r="B26" s="12">
        <f>F22*(1+$B$25)/($B$10-$B$25)</f>
        <v/>
      </c>
      <c r="C26" s="4" t="n"/>
      <c r="D26" s="4" t="n"/>
      <c r="E26" s="4" t="n"/>
      <c r="F26" s="4" t="n"/>
    </row>
    <row r="27">
      <c r="A27" s="4" t="inlineStr">
        <is>
          <t>PV terminal value</t>
        </is>
      </c>
      <c r="B27" s="12">
        <f>B26/(1+$B$10)^5</f>
        <v/>
      </c>
      <c r="C27" s="4" t="n"/>
      <c r="D27" s="4" t="n"/>
      <c r="E27" s="4" t="n"/>
      <c r="F27" s="4" t="n"/>
    </row>
    <row r="28">
      <c r="A28" s="4" t="inlineStr">
        <is>
          <t>Enterprise value</t>
        </is>
      </c>
      <c r="B28" s="12">
        <f>B24+B27</f>
        <v/>
      </c>
      <c r="C28" s="4" t="n"/>
      <c r="D28" s="4" t="n"/>
      <c r="E28" s="4" t="n"/>
      <c r="F28" s="4" t="n"/>
    </row>
    <row r="29">
      <c r="A29" s="4" t="inlineStr">
        <is>
          <t>Cash &amp; investments</t>
        </is>
      </c>
      <c r="B29" s="12">
        <f>'Inputs'!$C$26+'Inputs'!$C$27+'Inputs'!$C$28</f>
        <v/>
      </c>
      <c r="C29" s="4" t="n"/>
      <c r="D29" s="4" t="n"/>
      <c r="E29" s="4" t="n"/>
      <c r="F29" s="4" t="n"/>
    </row>
    <row r="30">
      <c r="A30" s="4" t="inlineStr">
        <is>
          <t>Total debt</t>
        </is>
      </c>
      <c r="B30" s="12">
        <f>B7</f>
        <v/>
      </c>
      <c r="C30" s="4" t="n"/>
      <c r="D30" s="4" t="n"/>
      <c r="E30" s="4" t="n"/>
      <c r="F30" s="4" t="n"/>
    </row>
    <row r="31">
      <c r="A31" s="4" t="inlineStr">
        <is>
          <t>Equity value</t>
        </is>
      </c>
      <c r="B31" s="12">
        <f>B28+B29-B30</f>
        <v/>
      </c>
      <c r="C31" s="4" t="n"/>
      <c r="D31" s="4" t="n"/>
      <c r="E31" s="4" t="n"/>
      <c r="F31" s="4" t="n"/>
    </row>
    <row r="32">
      <c r="A32" s="4" t="inlineStr">
        <is>
          <t>Diluted shares</t>
        </is>
      </c>
      <c r="B32" s="12">
        <f>'Inputs'!$C$25</f>
        <v/>
      </c>
      <c r="C32" s="4" t="n"/>
      <c r="D32" s="4" t="n"/>
      <c r="E32" s="4" t="n"/>
      <c r="F32" s="4" t="n"/>
    </row>
    <row r="33">
      <c r="A33" s="4" t="inlineStr">
        <is>
          <t>Implied share price</t>
        </is>
      </c>
      <c r="B33" s="12">
        <f>B31/B32</f>
        <v/>
      </c>
      <c r="C33" s="4" t="n"/>
      <c r="D33" s="4" t="n"/>
      <c r="E33" s="4" t="n"/>
      <c r="F33" s="4" t="n"/>
    </row>
    <row r="34">
      <c r="A34" s="4" t="inlineStr">
        <is>
          <t>Sensitivity: share price</t>
        </is>
      </c>
      <c r="B34" s="13" t="n">
        <v>0.02</v>
      </c>
      <c r="C34" s="13" t="n">
        <v>0.025</v>
      </c>
      <c r="D34" s="13" t="n">
        <v>0.03</v>
      </c>
      <c r="E34" s="4" t="n"/>
      <c r="F34" s="4" t="n"/>
    </row>
    <row r="35">
      <c r="A35" s="13">
        <f>$B$10-0.01</f>
        <v/>
      </c>
      <c r="B35" s="14">
        <f>(B$22/(1+$A35)^1+C$22/(1+$A35)^2+D$22/(1+$A35)^3+E$22/(1+$A35)^4+F$22/(1+$A35)^5+$F$22*(1+B$34)/($A35-B$34)/(1+$A35)^5+$B$29-$B$30)/$B$32</f>
        <v/>
      </c>
      <c r="C35" s="14">
        <f>(B$22/(1+$A35)^1+C$22/(1+$A35)^2+D$22/(1+$A35)^3+E$22/(1+$A35)^4+F$22/(1+$A35)^5+$F$22*(1+C$34)/($A35-C$34)/(1+$A35)^5+$B$29-$B$30)/$B$32</f>
        <v/>
      </c>
      <c r="D35" s="14">
        <f>(B$22/(1+$A35)^1+C$22/(1+$A35)^2+D$22/(1+$A35)^3+E$22/(1+$A35)^4+F$22/(1+$A35)^5+$F$22*(1+D$34)/($A35-D$34)/(1+$A35)^5+$B$29-$B$30)/$B$32</f>
        <v/>
      </c>
      <c r="E35" s="4" t="n"/>
      <c r="F35" s="4" t="n"/>
    </row>
    <row r="36">
      <c r="A36" s="13">
        <f>$B$10</f>
        <v/>
      </c>
      <c r="B36" s="14">
        <f>(B$22/(1+$A36)^1+C$22/(1+$A36)^2+D$22/(1+$A36)^3+E$22/(1+$A36)^4+F$22/(1+$A36)^5+$F$22*(1+B$34)/($A36-B$34)/(1+$A36)^5+$B$29-$B$30)/$B$32</f>
        <v/>
      </c>
      <c r="C36" s="14">
        <f>(B$22/(1+$A36)^1+C$22/(1+$A36)^2+D$22/(1+$A36)^3+E$22/(1+$A36)^4+F$22/(1+$A36)^5+$F$22*(1+C$34)/($A36-C$34)/(1+$A36)^5+$B$29-$B$30)/$B$32</f>
        <v/>
      </c>
      <c r="D36" s="14">
        <f>(B$22/(1+$A36)^1+C$22/(1+$A36)^2+D$22/(1+$A36)^3+E$22/(1+$A36)^4+F$22/(1+$A36)^5+$F$22*(1+D$34)/($A36-D$34)/(1+$A36)^5+$B$29-$B$30)/$B$32</f>
        <v/>
      </c>
      <c r="E36" s="4" t="n"/>
      <c r="F36" s="4" t="n"/>
    </row>
    <row r="37">
      <c r="A37" s="13">
        <f>$B$10+0.01</f>
        <v/>
      </c>
      <c r="B37" s="14">
        <f>(B$22/(1+$A37)^1+C$22/(1+$A37)^2+D$22/(1+$A37)^3+E$22/(1+$A37)^4+F$22/(1+$A37)^5+$F$22*(1+B$34)/($A37-B$34)/(1+$A37)^5+$B$29-$B$30)/$B$32</f>
        <v/>
      </c>
      <c r="C37" s="14">
        <f>(B$22/(1+$A37)^1+C$22/(1+$A37)^2+D$22/(1+$A37)^3+E$22/(1+$A37)^4+F$22/(1+$A37)^5+$F$22*(1+C$34)/($A37-C$34)/(1+$A37)^5+$B$29-$B$30)/$B$32</f>
        <v/>
      </c>
      <c r="D37" s="14">
        <f>(B$22/(1+$A37)^1+C$22/(1+$A37)^2+D$22/(1+$A37)^3+E$22/(1+$A37)^4+F$22/(1+$A37)^5+$F$22*(1+D$34)/($A37-D$34)/(1+$A37)^5+$B$29-$B$30)/$B$32</f>
        <v/>
      </c>
      <c r="E37" s="4" t="n"/>
      <c r="F3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LBO — illustrative mechanics only; USD bn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Entry / sources &amp; uses</t>
        </is>
      </c>
      <c r="B2" s="2" t="inlineStr">
        <is>
          <t>Value</t>
        </is>
      </c>
      <c r="C2" s="2" t="n"/>
      <c r="D2" s="2" t="n"/>
      <c r="E2" s="2" t="n"/>
      <c r="F2" s="2" t="n"/>
      <c r="G2" s="2" t="n"/>
    </row>
    <row r="3">
      <c r="A3" s="4" t="inlineStr">
        <is>
          <t>FY2025 EBITDA</t>
        </is>
      </c>
      <c r="B3" s="12">
        <f>'Inputs'!$C$19+'Inputs'!$C$22</f>
        <v/>
      </c>
      <c r="C3" s="4" t="n"/>
      <c r="D3" s="4" t="n"/>
      <c r="E3" s="4" t="n"/>
      <c r="F3" s="4" t="n"/>
      <c r="G3" s="4" t="n"/>
    </row>
    <row r="4">
      <c r="A4" s="4" t="inlineStr">
        <is>
          <t>Entry EV/EBITDA</t>
        </is>
      </c>
      <c r="B4" s="15">
        <f>'Inputs'!$C$62</f>
        <v/>
      </c>
      <c r="C4" s="4" t="n"/>
      <c r="D4" s="4" t="n"/>
      <c r="E4" s="4" t="n"/>
      <c r="F4" s="4" t="n"/>
      <c r="G4" s="4" t="n"/>
    </row>
    <row r="5">
      <c r="A5" s="4" t="inlineStr">
        <is>
          <t>Entry EV</t>
        </is>
      </c>
      <c r="B5" s="12">
        <f>B3*B4</f>
        <v/>
      </c>
      <c r="C5" s="4" t="n"/>
      <c r="D5" s="4" t="n"/>
      <c r="E5" s="4" t="n"/>
      <c r="F5" s="4" t="n"/>
      <c r="G5" s="4" t="n"/>
    </row>
    <row r="6">
      <c r="A6" s="4" t="inlineStr">
        <is>
          <t>Existing net debt</t>
        </is>
      </c>
      <c r="B6" s="12">
        <f>'Inputs'!$C$29+'Inputs'!$C$30+'Inputs'!$C$31 - ('Inputs'!$C$26+'Inputs'!$C$27+'Inputs'!$C$28)</f>
        <v/>
      </c>
      <c r="C6" s="4" t="n"/>
      <c r="D6" s="4" t="n"/>
      <c r="E6" s="4" t="n"/>
      <c r="F6" s="4" t="n"/>
      <c r="G6" s="4" t="n"/>
    </row>
    <row r="7">
      <c r="A7" s="4" t="inlineStr">
        <is>
          <t>Seller equity purchase</t>
        </is>
      </c>
      <c r="B7" s="12">
        <f>B5-B6</f>
        <v/>
      </c>
      <c r="C7" s="4" t="n"/>
      <c r="D7" s="4" t="n"/>
      <c r="E7" s="4" t="n"/>
      <c r="F7" s="4" t="n"/>
      <c r="G7" s="4" t="n"/>
    </row>
    <row r="8">
      <c r="A8" s="4" t="inlineStr">
        <is>
          <t>Transaction fees</t>
        </is>
      </c>
      <c r="B8" s="12">
        <f>B5*'Inputs'!$C$69</f>
        <v/>
      </c>
      <c r="C8" s="4" t="n"/>
      <c r="D8" s="4" t="n"/>
      <c r="E8" s="4" t="n"/>
      <c r="F8" s="4" t="n"/>
      <c r="G8" s="4" t="n"/>
    </row>
    <row r="9">
      <c r="A9" s="4" t="inlineStr">
        <is>
          <t>Opening TLB</t>
        </is>
      </c>
      <c r="B9" s="12">
        <f>B3*'Inputs'!$C$64</f>
        <v/>
      </c>
      <c r="C9" s="4" t="n"/>
      <c r="D9" s="4" t="n"/>
      <c r="E9" s="4" t="n"/>
      <c r="F9" s="4" t="n"/>
      <c r="G9" s="4" t="n"/>
    </row>
    <row r="10">
      <c r="A10" s="4" t="inlineStr">
        <is>
          <t>Opening senior notes</t>
        </is>
      </c>
      <c r="B10" s="12">
        <f>B3*'Inputs'!$C$65</f>
        <v/>
      </c>
      <c r="C10" s="4" t="n"/>
      <c r="D10" s="4" t="n"/>
      <c r="E10" s="4" t="n"/>
      <c r="F10" s="4" t="n"/>
      <c r="G10" s="4" t="n"/>
    </row>
    <row r="11">
      <c r="A11" s="4" t="inlineStr">
        <is>
          <t>Sponsor equity</t>
        </is>
      </c>
      <c r="B11" s="12">
        <f>B5+B8-B9-B10</f>
        <v/>
      </c>
      <c r="C11" s="4" t="n"/>
      <c r="D11" s="4" t="n"/>
      <c r="E11" s="4" t="n"/>
      <c r="F11" s="4" t="n"/>
      <c r="G11" s="4" t="n"/>
    </row>
    <row r="12">
      <c r="A12" s="4" t="inlineStr">
        <is>
          <t>Uses total</t>
        </is>
      </c>
      <c r="B12" s="12">
        <f>B7+('Inputs'!$C$29+'Inputs'!$C$30+'Inputs'!$C$31)+B8</f>
        <v/>
      </c>
      <c r="C12" s="4" t="n"/>
      <c r="D12" s="4" t="n"/>
      <c r="E12" s="4" t="n"/>
      <c r="F12" s="4" t="n"/>
      <c r="G12" s="4" t="n"/>
    </row>
    <row r="13">
      <c r="A13" s="4" t="inlineStr">
        <is>
          <t>Sources total</t>
        </is>
      </c>
      <c r="B13" s="12">
        <f>B9+B10+B11+('Inputs'!$C$26+'Inputs'!$C$27+'Inputs'!$C$28)</f>
        <v/>
      </c>
      <c r="C13" s="4" t="n"/>
      <c r="D13" s="4" t="n"/>
      <c r="E13" s="4" t="n"/>
      <c r="F13" s="4" t="n"/>
      <c r="G13" s="4" t="n"/>
    </row>
    <row r="14">
      <c r="A14" s="4" t="inlineStr">
        <is>
          <t>Sources less uses</t>
        </is>
      </c>
      <c r="B14" s="12">
        <f>B13-B12</f>
        <v/>
      </c>
      <c r="C14" s="4" t="n"/>
      <c r="D14" s="4" t="n"/>
      <c r="E14" s="4" t="n"/>
      <c r="F14" s="4" t="n"/>
      <c r="G14" s="4" t="n"/>
    </row>
    <row r="15">
      <c r="A15" s="4" t="inlineStr">
        <is>
          <t>TLB rate</t>
        </is>
      </c>
      <c r="B15" s="15">
        <f>'Inputs'!$C$47+'Inputs'!$C$66</f>
        <v/>
      </c>
      <c r="C15" s="4" t="n"/>
      <c r="D15" s="4" t="n"/>
      <c r="E15" s="4" t="n"/>
      <c r="F15" s="4" t="n"/>
      <c r="G15" s="4" t="n"/>
    </row>
    <row r="16">
      <c r="A16" s="4" t="inlineStr">
        <is>
          <t>Notes rate</t>
        </is>
      </c>
      <c r="B16" s="15">
        <f>'Inputs'!$C$47+'Inputs'!$C$67</f>
        <v/>
      </c>
      <c r="C16" s="4" t="n"/>
      <c r="D16" s="4" t="n"/>
      <c r="E16" s="4" t="n"/>
      <c r="F16" s="4" t="n"/>
      <c r="G16" s="4" t="n"/>
    </row>
    <row r="17">
      <c r="A17" s="4" t="inlineStr">
        <is>
          <t>Debt schedule</t>
        </is>
      </c>
      <c r="B17" s="4" t="inlineStr">
        <is>
          <t>Year 1</t>
        </is>
      </c>
      <c r="C17" s="4" t="inlineStr">
        <is>
          <t>Year 2</t>
        </is>
      </c>
      <c r="D17" s="4" t="inlineStr">
        <is>
          <t>Year 3</t>
        </is>
      </c>
      <c r="E17" s="4" t="inlineStr">
        <is>
          <t>Year 4</t>
        </is>
      </c>
      <c r="F17" s="4" t="inlineStr">
        <is>
          <t>Year 5</t>
        </is>
      </c>
      <c r="G17" s="4" t="n"/>
    </row>
    <row r="18">
      <c r="A18" s="4" t="inlineStr">
        <is>
          <t>Fiscal year</t>
        </is>
      </c>
      <c r="B18" s="4" t="n">
        <v>2026</v>
      </c>
      <c r="C18" s="4" t="n">
        <v>2027</v>
      </c>
      <c r="D18" s="4" t="n">
        <v>2028</v>
      </c>
      <c r="E18" s="4" t="n">
        <v>2029</v>
      </c>
      <c r="F18" s="4" t="n">
        <v>2030</v>
      </c>
      <c r="G18" s="4" t="n"/>
    </row>
    <row r="19">
      <c r="A19" s="4" t="inlineStr">
        <is>
          <t>Revenue</t>
        </is>
      </c>
      <c r="B19" s="12">
        <f>'DCF'!B14</f>
        <v/>
      </c>
      <c r="C19" s="12">
        <f>'DCF'!C14</f>
        <v/>
      </c>
      <c r="D19" s="12">
        <f>'DCF'!D14</f>
        <v/>
      </c>
      <c r="E19" s="12">
        <f>'DCF'!E14</f>
        <v/>
      </c>
      <c r="F19" s="12">
        <f>'DCF'!F14</f>
        <v/>
      </c>
      <c r="G19" s="4" t="n"/>
    </row>
    <row r="20">
      <c r="A20" s="4" t="inlineStr">
        <is>
          <t>EBIT</t>
        </is>
      </c>
      <c r="B20" s="12">
        <f>'DCF'!B15</f>
        <v/>
      </c>
      <c r="C20" s="12">
        <f>'DCF'!C15</f>
        <v/>
      </c>
      <c r="D20" s="12">
        <f>'DCF'!D15</f>
        <v/>
      </c>
      <c r="E20" s="12">
        <f>'DCF'!E15</f>
        <v/>
      </c>
      <c r="F20" s="12">
        <f>'DCF'!F15</f>
        <v/>
      </c>
      <c r="G20" s="4" t="n"/>
    </row>
    <row r="21">
      <c r="A21" s="4" t="inlineStr">
        <is>
          <t>D&amp;A</t>
        </is>
      </c>
      <c r="B21" s="12">
        <f>'DCF'!B18</f>
        <v/>
      </c>
      <c r="C21" s="12">
        <f>'DCF'!C18</f>
        <v/>
      </c>
      <c r="D21" s="12">
        <f>'DCF'!D18</f>
        <v/>
      </c>
      <c r="E21" s="12">
        <f>'DCF'!E18</f>
        <v/>
      </c>
      <c r="F21" s="12">
        <f>'DCF'!F18</f>
        <v/>
      </c>
      <c r="G21" s="4" t="n"/>
    </row>
    <row r="22">
      <c r="A22" s="4" t="inlineStr">
        <is>
          <t>Capex</t>
        </is>
      </c>
      <c r="B22" s="12">
        <f>'DCF'!B19</f>
        <v/>
      </c>
      <c r="C22" s="12">
        <f>'DCF'!C19</f>
        <v/>
      </c>
      <c r="D22" s="12">
        <f>'DCF'!D19</f>
        <v/>
      </c>
      <c r="E22" s="12">
        <f>'DCF'!E19</f>
        <v/>
      </c>
      <c r="F22" s="12">
        <f>'DCF'!F19</f>
        <v/>
      </c>
      <c r="G22" s="4" t="n"/>
    </row>
    <row r="23">
      <c r="A23" s="4" t="inlineStr">
        <is>
          <t>Change NWC</t>
        </is>
      </c>
      <c r="B23" s="12">
        <f>'DCF'!B21</f>
        <v/>
      </c>
      <c r="C23" s="12">
        <f>'DCF'!C21</f>
        <v/>
      </c>
      <c r="D23" s="12">
        <f>'DCF'!D21</f>
        <v/>
      </c>
      <c r="E23" s="12">
        <f>'DCF'!E21</f>
        <v/>
      </c>
      <c r="F23" s="12">
        <f>'DCF'!F21</f>
        <v/>
      </c>
      <c r="G23" s="4" t="n"/>
    </row>
    <row r="24">
      <c r="A24" s="4" t="inlineStr">
        <is>
          <t>EBITDA</t>
        </is>
      </c>
      <c r="B24" s="12">
        <f>B20+B21</f>
        <v/>
      </c>
      <c r="C24" s="12">
        <f>C20+C21</f>
        <v/>
      </c>
      <c r="D24" s="12">
        <f>D20+D21</f>
        <v/>
      </c>
      <c r="E24" s="12">
        <f>E20+E21</f>
        <v/>
      </c>
      <c r="F24" s="12">
        <f>F20+F21</f>
        <v/>
      </c>
      <c r="G24" s="4" t="n"/>
    </row>
    <row r="25">
      <c r="A25" s="4" t="inlineStr">
        <is>
          <t>Beginning TLB</t>
        </is>
      </c>
      <c r="B25" s="12">
        <f>$B$9</f>
        <v/>
      </c>
      <c r="C25" s="12">
        <f>B35</f>
        <v/>
      </c>
      <c r="D25" s="12">
        <f>C35</f>
        <v/>
      </c>
      <c r="E25" s="12">
        <f>D35</f>
        <v/>
      </c>
      <c r="F25" s="12">
        <f>E35</f>
        <v/>
      </c>
      <c r="G25" s="4" t="n"/>
    </row>
    <row r="26">
      <c r="A26" s="4" t="inlineStr">
        <is>
          <t>Beginning notes</t>
        </is>
      </c>
      <c r="B26" s="12">
        <f>$B$10</f>
        <v/>
      </c>
      <c r="C26" s="12">
        <f>B36</f>
        <v/>
      </c>
      <c r="D26" s="12">
        <f>C36</f>
        <v/>
      </c>
      <c r="E26" s="12">
        <f>D36</f>
        <v/>
      </c>
      <c r="F26" s="12">
        <f>E36</f>
        <v/>
      </c>
      <c r="G26" s="4" t="n"/>
    </row>
    <row r="27">
      <c r="A27" s="4" t="inlineStr">
        <is>
          <t>TLB interest</t>
        </is>
      </c>
      <c r="B27" s="12">
        <f>B25*$B$15</f>
        <v/>
      </c>
      <c r="C27" s="12">
        <f>C25*$B$15</f>
        <v/>
      </c>
      <c r="D27" s="12">
        <f>D25*$B$15</f>
        <v/>
      </c>
      <c r="E27" s="12">
        <f>E25*$B$15</f>
        <v/>
      </c>
      <c r="F27" s="12">
        <f>F25*$B$15</f>
        <v/>
      </c>
      <c r="G27" s="4" t="n"/>
    </row>
    <row r="28">
      <c r="A28" s="4" t="inlineStr">
        <is>
          <t>Notes interest</t>
        </is>
      </c>
      <c r="B28" s="12">
        <f>B26*$B$16</f>
        <v/>
      </c>
      <c r="C28" s="12">
        <f>C26*$B$16</f>
        <v/>
      </c>
      <c r="D28" s="12">
        <f>D26*$B$16</f>
        <v/>
      </c>
      <c r="E28" s="12">
        <f>E26*$B$16</f>
        <v/>
      </c>
      <c r="F28" s="12">
        <f>F26*$B$16</f>
        <v/>
      </c>
      <c r="G28" s="4" t="n"/>
    </row>
    <row r="29">
      <c r="A29" s="4" t="inlineStr">
        <is>
          <t>Total interest</t>
        </is>
      </c>
      <c r="B29" s="12">
        <f>B27+B28</f>
        <v/>
      </c>
      <c r="C29" s="12">
        <f>C27+C28</f>
        <v/>
      </c>
      <c r="D29" s="12">
        <f>D27+D28</f>
        <v/>
      </c>
      <c r="E29" s="12">
        <f>E27+E28</f>
        <v/>
      </c>
      <c r="F29" s="12">
        <f>F27+F28</f>
        <v/>
      </c>
      <c r="G29" s="4" t="n"/>
    </row>
    <row r="30">
      <c r="A30" s="4" t="inlineStr">
        <is>
          <t>Cash taxes</t>
        </is>
      </c>
      <c r="B30" s="12">
        <f>MAX(0,(B20-B29)*'Inputs'!$C$51)</f>
        <v/>
      </c>
      <c r="C30" s="12">
        <f>MAX(0,(C20-C29)*'Inputs'!$C$51)</f>
        <v/>
      </c>
      <c r="D30" s="12">
        <f>MAX(0,(D20-D29)*'Inputs'!$C$51)</f>
        <v/>
      </c>
      <c r="E30" s="12">
        <f>MAX(0,(E20-E29)*'Inputs'!$C$51)</f>
        <v/>
      </c>
      <c r="F30" s="12">
        <f>MAX(0,(F20-F29)*'Inputs'!$C$51)</f>
        <v/>
      </c>
      <c r="G30" s="4" t="n"/>
    </row>
    <row r="31">
      <c r="A31" s="4" t="inlineStr">
        <is>
          <t>Cash available for debt service</t>
        </is>
      </c>
      <c r="B31" s="12">
        <f>B20+B21-B22-B23-B30-B29</f>
        <v/>
      </c>
      <c r="C31" s="12">
        <f>C20+C21-C22-C23-C30-C29</f>
        <v/>
      </c>
      <c r="D31" s="12">
        <f>D20+D21-D22-D23-D30-D29</f>
        <v/>
      </c>
      <c r="E31" s="12">
        <f>E20+E21-E22-E23-E30-E29</f>
        <v/>
      </c>
      <c r="F31" s="12">
        <f>F20+F21-F22-F23-F30-F29</f>
        <v/>
      </c>
      <c r="G31" s="4" t="n"/>
    </row>
    <row r="32">
      <c r="A32" s="4" t="inlineStr">
        <is>
          <t>Scheduled TLB amortization</t>
        </is>
      </c>
      <c r="B32" s="12">
        <f>IF(B18-2025&gt;='Inputs'!$C$76,B25,MIN(B25,$B$9*'Inputs'!$C$68))</f>
        <v/>
      </c>
      <c r="C32" s="12">
        <f>IF(C18-2025&gt;='Inputs'!$C$76,C25,MIN(C25,$B$9*'Inputs'!$C$68))</f>
        <v/>
      </c>
      <c r="D32" s="12">
        <f>IF(D18-2025&gt;='Inputs'!$C$76,D25,MIN(D25,$B$9*'Inputs'!$C$68))</f>
        <v/>
      </c>
      <c r="E32" s="12">
        <f>IF(E18-2025&gt;='Inputs'!$C$76,E25,MIN(E25,$B$9*'Inputs'!$C$68))</f>
        <v/>
      </c>
      <c r="F32" s="12">
        <f>IF(F18-2025&gt;='Inputs'!$C$76,F25,MIN(F25,$B$9*'Inputs'!$C$68))</f>
        <v/>
      </c>
      <c r="G32" s="4" t="n"/>
    </row>
    <row r="33">
      <c r="A33" s="4" t="inlineStr">
        <is>
          <t>TLB cash sweep</t>
        </is>
      </c>
      <c r="B33" s="12">
        <f>MIN(MAX(0,B25-B32),MAX(0,B31-B32)*'Inputs'!$C$79)</f>
        <v/>
      </c>
      <c r="C33" s="12">
        <f>MIN(MAX(0,C25-C32),MAX(0,C31-C32)*'Inputs'!$C$79)</f>
        <v/>
      </c>
      <c r="D33" s="12">
        <f>MIN(MAX(0,D25-D32),MAX(0,D31-D32)*'Inputs'!$C$79)</f>
        <v/>
      </c>
      <c r="E33" s="12">
        <f>MIN(MAX(0,E25-E32),MAX(0,E31-E32)*'Inputs'!$C$79)</f>
        <v/>
      </c>
      <c r="F33" s="12">
        <f>MIN(MAX(0,F25-F32),MAX(0,F31-F32)*'Inputs'!$C$79)</f>
        <v/>
      </c>
      <c r="G33" s="4" t="n"/>
    </row>
    <row r="34">
      <c r="A34" s="4" t="inlineStr">
        <is>
          <t>Notes cash sweep</t>
        </is>
      </c>
      <c r="B34" s="12">
        <f>MIN(B26,MIN(B26,IF(B18-2025&gt;='Inputs'!$C$77,B26,B26*'Inputs'!$C$78))+MAX(0,B31-B32-B33-MIN(B26,IF(B18-2025&gt;='Inputs'!$C$77,B26,B26*'Inputs'!$C$78))))</f>
        <v/>
      </c>
      <c r="C34" s="12">
        <f>MIN(C26,MIN(C26,IF(C18-2025&gt;='Inputs'!$C$77,C26,C26*'Inputs'!$C$78))+MAX(0,C31-C32-C33-MIN(C26,IF(C18-2025&gt;='Inputs'!$C$77,C26,C26*'Inputs'!$C$78))))</f>
        <v/>
      </c>
      <c r="D34" s="12">
        <f>MIN(D26,MIN(D26,IF(D18-2025&gt;='Inputs'!$C$77,D26,D26*'Inputs'!$C$78))+MAX(0,D31-D32-D33-MIN(D26,IF(D18-2025&gt;='Inputs'!$C$77,D26,D26*'Inputs'!$C$78))))</f>
        <v/>
      </c>
      <c r="E34" s="12">
        <f>MIN(E26,MIN(E26,IF(E18-2025&gt;='Inputs'!$C$77,E26,E26*'Inputs'!$C$78))+MAX(0,E31-E32-E33-MIN(E26,IF(E18-2025&gt;='Inputs'!$C$77,E26,E26*'Inputs'!$C$78))))</f>
        <v/>
      </c>
      <c r="F34" s="12">
        <f>MIN(F26,MIN(F26,IF(F18-2025&gt;='Inputs'!$C$77,F26,F26*'Inputs'!$C$78))+MAX(0,F31-F32-F33-MIN(F26,IF(F18-2025&gt;='Inputs'!$C$77,F26,F26*'Inputs'!$C$78))))</f>
        <v/>
      </c>
      <c r="G34" s="4" t="n"/>
    </row>
    <row r="35">
      <c r="A35" s="4" t="inlineStr">
        <is>
          <t>Ending TLB</t>
        </is>
      </c>
      <c r="B35" s="12">
        <f>B25-B32-B33</f>
        <v/>
      </c>
      <c r="C35" s="12">
        <f>C25-C32-C33</f>
        <v/>
      </c>
      <c r="D35" s="12">
        <f>D25-D32-D33</f>
        <v/>
      </c>
      <c r="E35" s="12">
        <f>E25-E32-E33</f>
        <v/>
      </c>
      <c r="F35" s="12">
        <f>F25-F32-F33</f>
        <v/>
      </c>
      <c r="G35" s="4" t="n"/>
    </row>
    <row r="36">
      <c r="A36" s="4" t="inlineStr">
        <is>
          <t>Ending notes</t>
        </is>
      </c>
      <c r="B36" s="12">
        <f>B26-B34</f>
        <v/>
      </c>
      <c r="C36" s="12">
        <f>C26-C34</f>
        <v/>
      </c>
      <c r="D36" s="12">
        <f>D26-D34</f>
        <v/>
      </c>
      <c r="E36" s="12">
        <f>E26-E34</f>
        <v/>
      </c>
      <c r="F36" s="12">
        <f>F26-F34</f>
        <v/>
      </c>
      <c r="G36" s="4" t="n"/>
    </row>
    <row r="37">
      <c r="A37" s="4" t="inlineStr">
        <is>
          <t>Ending total debt</t>
        </is>
      </c>
      <c r="B37" s="12">
        <f>B35+B36</f>
        <v/>
      </c>
      <c r="C37" s="12">
        <f>C35+C36</f>
        <v/>
      </c>
      <c r="D37" s="12">
        <f>D35+D36</f>
        <v/>
      </c>
      <c r="E37" s="12">
        <f>E35+E36</f>
        <v/>
      </c>
      <c r="F37" s="12">
        <f>F35+F36</f>
        <v/>
      </c>
      <c r="G37" s="4" t="n"/>
    </row>
    <row r="38">
      <c r="A38" s="4" t="inlineStr">
        <is>
          <t>Exit &amp; returns</t>
        </is>
      </c>
      <c r="B38" s="4" t="inlineStr">
        <is>
          <t>Value</t>
        </is>
      </c>
      <c r="C38" s="4" t="n"/>
      <c r="D38" s="4" t="n"/>
      <c r="E38" s="4" t="n"/>
      <c r="F38" s="4" t="n"/>
      <c r="G38" s="4" t="n"/>
    </row>
    <row r="39">
      <c r="A39" s="4" t="inlineStr">
        <is>
          <t>Exit EBITDA</t>
        </is>
      </c>
      <c r="B39" s="12">
        <f>F24</f>
        <v/>
      </c>
      <c r="C39" s="4" t="n"/>
      <c r="D39" s="4" t="n"/>
      <c r="E39" s="4" t="n"/>
      <c r="F39" s="4" t="n"/>
      <c r="G39" s="4" t="n"/>
    </row>
    <row r="40">
      <c r="A40" s="4" t="inlineStr">
        <is>
          <t>Exit multiple</t>
        </is>
      </c>
      <c r="B40" s="15">
        <f>'Inputs'!$C$63</f>
        <v/>
      </c>
      <c r="C40" s="4" t="n"/>
      <c r="D40" s="4" t="n"/>
      <c r="E40" s="4" t="n"/>
      <c r="F40" s="4" t="n"/>
      <c r="G40" s="4" t="n"/>
    </row>
    <row r="41">
      <c r="A41" s="4" t="inlineStr">
        <is>
          <t>Exit EV</t>
        </is>
      </c>
      <c r="B41" s="12">
        <f>B39*B40</f>
        <v/>
      </c>
      <c r="C41" s="4" t="n"/>
      <c r="D41" s="4" t="n"/>
      <c r="E41" s="4" t="n"/>
      <c r="F41" s="4" t="n"/>
      <c r="G41" s="4" t="n"/>
    </row>
    <row r="42">
      <c r="A42" s="4" t="inlineStr">
        <is>
          <t>Debt at exit</t>
        </is>
      </c>
      <c r="B42" s="12">
        <f>F37</f>
        <v/>
      </c>
      <c r="C42" s="4" t="n"/>
      <c r="D42" s="4" t="n"/>
      <c r="E42" s="4" t="n"/>
      <c r="F42" s="4" t="n"/>
      <c r="G42" s="4" t="n"/>
    </row>
    <row r="43">
      <c r="A43" s="4" t="inlineStr">
        <is>
          <t>Exit equity</t>
        </is>
      </c>
      <c r="B43" s="12">
        <f>B41-B42</f>
        <v/>
      </c>
      <c r="C43" s="4" t="n"/>
      <c r="D43" s="4" t="n"/>
      <c r="E43" s="4" t="n"/>
      <c r="F43" s="4" t="n"/>
      <c r="G43" s="4" t="n"/>
    </row>
    <row r="44">
      <c r="A44" s="4" t="inlineStr">
        <is>
          <t>Cash flow year</t>
        </is>
      </c>
      <c r="B44" s="4" t="n">
        <v>0</v>
      </c>
      <c r="C44" s="4" t="n">
        <v>1</v>
      </c>
      <c r="D44" s="4" t="n">
        <v>2</v>
      </c>
      <c r="E44" s="4" t="n">
        <v>3</v>
      </c>
      <c r="F44" s="4" t="n">
        <v>4</v>
      </c>
      <c r="G44" s="4" t="n">
        <v>5</v>
      </c>
    </row>
    <row r="45">
      <c r="A45" s="4" t="inlineStr">
        <is>
          <t>Sponsor cash flow</t>
        </is>
      </c>
      <c r="B45" s="12">
        <f>-B11</f>
        <v/>
      </c>
      <c r="C45" s="12">
        <f>'Inputs'!$C$81</f>
        <v/>
      </c>
      <c r="D45" s="12">
        <f>'Inputs'!$C$81</f>
        <v/>
      </c>
      <c r="E45" s="12">
        <f>'Inputs'!$C$81</f>
        <v/>
      </c>
      <c r="F45" s="12">
        <f>'Inputs'!$C$81</f>
        <v/>
      </c>
      <c r="G45" s="12">
        <f>B43+'Inputs'!$C$81</f>
        <v/>
      </c>
    </row>
    <row r="46">
      <c r="A46" s="4" t="inlineStr">
        <is>
          <t>MOIC</t>
        </is>
      </c>
      <c r="B46" s="12">
        <f>B43/B11</f>
        <v/>
      </c>
      <c r="C46" s="4" t="n"/>
      <c r="D46" s="4" t="n"/>
      <c r="E46" s="4" t="n"/>
      <c r="F46" s="4" t="n"/>
      <c r="G46" s="4" t="n"/>
    </row>
    <row r="47">
      <c r="A47" s="4" t="inlineStr">
        <is>
          <t>IRR</t>
        </is>
      </c>
      <c r="B47" s="12">
        <f>IRR(B45:G45)</f>
        <v/>
      </c>
      <c r="C47" s="4" t="n"/>
      <c r="D47" s="4" t="n"/>
      <c r="E47" s="4" t="n"/>
      <c r="F47" s="4" t="n"/>
      <c r="G47" s="4" t="n"/>
    </row>
    <row r="48">
      <c r="A48" s="4" t="inlineStr">
        <is>
          <t>Ability to pay</t>
        </is>
      </c>
      <c r="B48" s="16" t="inlineStr">
        <is>
          <t>Value</t>
        </is>
      </c>
      <c r="C48" s="4" t="n"/>
      <c r="D48" s="4" t="n"/>
      <c r="E48" s="4" t="n"/>
      <c r="F48" s="4" t="n"/>
      <c r="G48" s="4" t="n"/>
    </row>
    <row r="49">
      <c r="A49" s="4" t="inlineStr">
        <is>
          <t>Target MOIC</t>
        </is>
      </c>
      <c r="B49" s="12">
        <f>(1+'Inputs'!$C$70)^'Inputs'!$C$71</f>
        <v/>
      </c>
      <c r="C49" s="4" t="n"/>
      <c r="D49" s="4" t="n"/>
      <c r="E49" s="4" t="n"/>
      <c r="F49" s="4" t="n"/>
      <c r="G49" s="4" t="n"/>
    </row>
    <row r="50">
      <c r="A50" s="4" t="inlineStr">
        <is>
          <t>Maximum sponsor equity</t>
        </is>
      </c>
      <c r="B50" s="12">
        <f>B43/B49</f>
        <v/>
      </c>
      <c r="C50" s="4" t="n"/>
      <c r="D50" s="4" t="n"/>
      <c r="E50" s="4" t="n"/>
      <c r="F50" s="4" t="n"/>
      <c r="G50" s="4" t="n"/>
    </row>
    <row r="51">
      <c r="A51" s="4" t="inlineStr">
        <is>
          <t>Maximum entry EV</t>
        </is>
      </c>
      <c r="B51" s="12">
        <f>(B50+B9+B10)/(1+'Inputs'!$C$69)</f>
        <v/>
      </c>
      <c r="C51" s="4" t="n"/>
      <c r="D51" s="4" t="n"/>
      <c r="E51" s="4" t="n"/>
      <c r="F51" s="4" t="n"/>
      <c r="G51" s="4" t="n"/>
    </row>
    <row r="52">
      <c r="A52" s="4" t="inlineStr">
        <is>
          <t>Maximum entry multiple</t>
        </is>
      </c>
      <c r="B52" s="14">
        <f>B51/B3</f>
        <v/>
      </c>
      <c r="C52" s="4" t="n"/>
      <c r="D52" s="4" t="n"/>
      <c r="E52" s="4" t="n"/>
      <c r="F52" s="4" t="n"/>
      <c r="G52" s="4" t="n"/>
    </row>
    <row r="53">
      <c r="A53" s="4" t="inlineStr">
        <is>
          <t>Maximum seller equity value</t>
        </is>
      </c>
      <c r="B53" s="14">
        <f>B51-B6</f>
        <v/>
      </c>
      <c r="C53" s="4" t="n"/>
      <c r="D53" s="4" t="n"/>
      <c r="E53" s="4" t="n"/>
      <c r="F53" s="4" t="n"/>
      <c r="G53" s="4" t="n"/>
    </row>
    <row r="54">
      <c r="A54" s="4" t="inlineStr">
        <is>
          <t>Maximum entry price/share</t>
        </is>
      </c>
      <c r="B54" s="14">
        <f>B53/'Inputs'!$C$25</f>
        <v/>
      </c>
      <c r="C54" s="4" t="n"/>
      <c r="D54" s="4" t="n"/>
      <c r="E54" s="4" t="n"/>
      <c r="F54" s="4" t="n"/>
      <c r="G5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7" customWidth="1" min="4" max="4"/>
    <col width="17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9" customWidth="1" min="11" max="11"/>
    <col width="25" customWidth="1" min="12" max="12"/>
    <col width="19" customWidth="1" min="13" max="13"/>
    <col width="15" customWidth="1" min="14" max="14"/>
    <col width="15" customWidth="1" min="15" max="15"/>
    <col width="12" customWidth="1" min="16" max="16"/>
    <col width="27" customWidth="1" min="17" max="17"/>
    <col width="27" customWidth="1" min="18" max="18"/>
    <col width="53" customWidth="1" min="19" max="19"/>
    <col width="68" customWidth="1" min="20" max="20"/>
  </cols>
  <sheetData>
    <row r="1">
      <c r="A1" s="1" t="inlineStr">
        <is>
          <t>Company</t>
        </is>
      </c>
      <c r="B1" s="1" t="inlineStr">
        <is>
          <t>Fiscal year</t>
        </is>
      </c>
      <c r="C1" s="1" t="inlineStr">
        <is>
          <t>Data provenance tier</t>
        </is>
      </c>
      <c r="D1" t="inlineStr">
        <is>
          <t>Share price (external)</t>
        </is>
      </c>
      <c r="E1" t="inlineStr">
        <is>
          <t>Market cap (external)</t>
        </is>
      </c>
      <c r="F1" t="inlineStr">
        <is>
          <t>Revenue</t>
        </is>
      </c>
      <c r="G1" t="inlineStr">
        <is>
          <t>EBIT</t>
        </is>
      </c>
      <c r="H1" t="inlineStr">
        <is>
          <t>EBITDA</t>
        </is>
      </c>
      <c r="I1" t="inlineStr">
        <is>
          <t>EBITDA margin</t>
        </is>
      </c>
      <c r="J1" t="inlineStr">
        <is>
          <t>Net income</t>
        </is>
      </c>
      <c r="K1" t="inlineStr">
        <is>
          <t>Identified debt*</t>
        </is>
      </c>
      <c r="L1" t="inlineStr">
        <is>
          <t>Identified cash + investments*</t>
        </is>
      </c>
      <c r="M1" t="inlineStr">
        <is>
          <t>Enterprise value*</t>
        </is>
      </c>
      <c r="N1" t="inlineStr">
        <is>
          <t>EV / Revenue*</t>
        </is>
      </c>
      <c r="O1" t="inlineStr">
        <is>
          <t>EV / EBITDA*</t>
        </is>
      </c>
      <c r="P1" t="inlineStr">
        <is>
          <t>P / E</t>
        </is>
      </c>
      <c r="Q1" t="inlineStr">
        <is>
          <t>Peer EV / EBITDA -&gt; AAPL/share</t>
        </is>
      </c>
      <c r="R1" t="inlineStr">
        <is>
          <t>Peer EV / Revenue -&gt; AAPL/share</t>
        </is>
      </c>
      <c r="S1" t="inlineStr">
        <is>
          <t>Balance-sheet flags</t>
        </is>
      </c>
      <c r="T1" t="inlineStr">
        <is>
          <t>EBITDA definition</t>
        </is>
      </c>
    </row>
    <row r="2">
      <c r="A2" s="2" t="inlineStr">
        <is>
          <t>AAPL</t>
        </is>
      </c>
      <c r="B2" s="2" t="inlineStr">
        <is>
          <t>FY2025</t>
        </is>
      </c>
      <c r="C2" s="2" t="inlineStr">
        <is>
          <t>Database provenance (ingested)</t>
        </is>
      </c>
      <c r="D2" s="21">
        <f>'Inputs'!$C$43</f>
        <v/>
      </c>
      <c r="E2" s="22">
        <f>'Inputs'!$C$44</f>
        <v/>
      </c>
      <c r="F2" s="22">
        <f>'Inputs'!$C$18</f>
        <v/>
      </c>
      <c r="G2" s="22">
        <f>'Inputs'!$C$19</f>
        <v/>
      </c>
      <c r="H2" s="22">
        <f>G2+'Inputs'!$C$22</f>
        <v/>
      </c>
      <c r="I2" s="19">
        <f>H2/F2</f>
        <v/>
      </c>
      <c r="J2" s="22">
        <f>'Inputs'!$C$24</f>
        <v/>
      </c>
      <c r="K2" s="22">
        <f>SUM('Inputs'!$C$29,'Inputs'!$C$30,'Inputs'!$C$31)</f>
        <v/>
      </c>
      <c r="L2" s="22">
        <f>SUM('Inputs'!$C$26,'Inputs'!$C$27,'Inputs'!$C$28)</f>
        <v/>
      </c>
      <c r="M2" s="22">
        <f>E2+K2-L2</f>
        <v/>
      </c>
      <c r="N2" s="19">
        <f>M2/F2</f>
        <v/>
      </c>
      <c r="O2" s="19">
        <f>M2/H2</f>
        <v/>
      </c>
      <c r="P2" s="19">
        <f>E2/J2</f>
        <v/>
      </c>
      <c r="Q2" s="21">
        <f>(O2*$H$2-$K$2+$L$2)/'Inputs'!$C$25</f>
        <v/>
      </c>
      <c r="R2" s="21">
        <f>(N2*$F$2-$K$2+$L$2)/'Inputs'!$C$25</f>
        <v/>
      </c>
      <c r="S2" t="inlineStr">
        <is>
          <t>Complete identified balances</t>
        </is>
      </c>
      <c r="T2" t="inlineStr">
        <is>
          <t>EBIT + combined DepreciationDepletionAndAmortization</t>
        </is>
      </c>
    </row>
    <row r="3">
      <c r="A3" s="2" t="inlineStr">
        <is>
          <t>MSFT</t>
        </is>
      </c>
      <c r="B3" s="2" t="inlineStr">
        <is>
          <t>FY2026</t>
        </is>
      </c>
      <c r="C3" s="2" t="inlineStr">
        <is>
          <t>Analysis-only (capture; not ingested)</t>
        </is>
      </c>
      <c r="D3" s="21">
        <f>'Inputs'!$C$45</f>
        <v/>
      </c>
      <c r="E3" s="22">
        <f>'Inputs'!$C$46</f>
        <v/>
      </c>
      <c r="F3" s="22">
        <f>'Inputs'!$C$34</f>
        <v/>
      </c>
      <c r="G3" s="22">
        <f>'Inputs'!$C$35</f>
        <v/>
      </c>
      <c r="H3" s="22">
        <f>G3+'Inputs'!$C$37+'Inputs'!$C$38</f>
        <v/>
      </c>
      <c r="I3" s="19">
        <f>H3/F3</f>
        <v/>
      </c>
      <c r="J3" s="22">
        <f>'Inputs'!$C$36</f>
        <v/>
      </c>
      <c r="K3" s="22">
        <f>SUM('Inputs'!$C$42)</f>
        <v/>
      </c>
      <c r="L3" s="22">
        <f>SUM('Inputs'!$C$39,'Inputs'!$C$40,'Inputs'!$C$41)</f>
        <v/>
      </c>
      <c r="M3" s="22">
        <f>E3+K3-L3</f>
        <v/>
      </c>
      <c r="N3" s="19">
        <f>M3/F3</f>
        <v/>
      </c>
      <c r="O3" s="19">
        <f>M3/H3</f>
        <v/>
      </c>
      <c r="P3" s="19">
        <f>E3/J3</f>
        <v/>
      </c>
      <c r="Q3" s="21">
        <f>(O3*$H$2-$K$2+$L$2)/'Inputs'!$C$25</f>
        <v/>
      </c>
      <c r="R3" s="21">
        <f>(N3*$F$2-$K$2+$L$2)/'Inputs'!$C$25</f>
        <v/>
      </c>
      <c r="S3" t="inlineStr">
        <is>
          <t>Commercial paper not found; identified debt only</t>
        </is>
      </c>
      <c r="T3" t="inlineStr">
        <is>
          <t>EBIT + Depreciation + AmortizationOfIntangibleAssets</t>
        </is>
      </c>
    </row>
    <row r="4">
      <c r="A4" s="2" t="inlineStr">
        <is>
          <t>GOOGL</t>
        </is>
      </c>
      <c r="B4" s="2" t="inlineStr">
        <is>
          <t>FY2025</t>
        </is>
      </c>
      <c r="C4" s="2" t="inlineStr">
        <is>
          <t>Database provenance (ingested)</t>
        </is>
      </c>
      <c r="D4" s="21">
        <f>'Inputs'!$C$124</f>
        <v/>
      </c>
      <c r="E4" s="22">
        <f>'Inputs'!$C$125</f>
        <v/>
      </c>
      <c r="F4" s="22">
        <f>'Inputs'!$C$82</f>
        <v/>
      </c>
      <c r="G4" s="22">
        <f>'Inputs'!$C$83</f>
        <v/>
      </c>
      <c r="H4" s="22">
        <f>G4+'Inputs'!$C$84</f>
        <v/>
      </c>
      <c r="I4" s="19">
        <f>H4/F4</f>
        <v/>
      </c>
      <c r="J4" s="22">
        <f>'Inputs'!$C$85</f>
        <v/>
      </c>
      <c r="K4" s="22">
        <f>SUM('Inputs'!$C$86)</f>
        <v/>
      </c>
      <c r="L4" s="22">
        <f>SUM('Inputs'!$C$87)</f>
        <v/>
      </c>
      <c r="M4" s="22">
        <f>E4+K4-L4</f>
        <v/>
      </c>
      <c r="N4" s="19">
        <f>M4/F4</f>
        <v/>
      </c>
      <c r="O4" s="19">
        <f>M4/H4</f>
        <v/>
      </c>
      <c r="P4" s="19">
        <f>E4/J4</f>
        <v/>
      </c>
      <c r="Q4" s="21">
        <f>(O4*$H$2-$K$2+$L$2)/'Inputs'!$C$25</f>
        <v/>
      </c>
      <c r="R4" s="21">
        <f>(N4*$F$2-$K$2+$L$2)/'Inputs'!$C$25</f>
        <v/>
      </c>
      <c r="S4" t="inlineStr">
        <is>
          <t>Commercial paper reported as 0.000; aggregate cash tag includes cash</t>
        </is>
      </c>
      <c r="T4" t="inlineStr">
        <is>
          <t>EBIT + Depreciation only; no intangible amortization tag identified</t>
        </is>
      </c>
    </row>
    <row r="5">
      <c r="A5" s="2" t="inlineStr">
        <is>
          <t>AMZN</t>
        </is>
      </c>
      <c r="B5" s="2" t="inlineStr">
        <is>
          <t>FY2025</t>
        </is>
      </c>
      <c r="C5" s="2" t="inlineStr">
        <is>
          <t>Database provenance (ingested)</t>
        </is>
      </c>
      <c r="D5" s="21">
        <f>'Inputs'!$C$126</f>
        <v/>
      </c>
      <c r="E5" s="22">
        <f>'Inputs'!$C$127</f>
        <v/>
      </c>
      <c r="F5" s="22">
        <f>'Inputs'!$C$89</f>
        <v/>
      </c>
      <c r="G5" s="22">
        <f>'Inputs'!$C$90</f>
        <v/>
      </c>
      <c r="H5" s="22">
        <f>G5+'Inputs'!$C$91+'Inputs'!$C$92</f>
        <v/>
      </c>
      <c r="I5" s="19">
        <f>H5/F5</f>
        <v/>
      </c>
      <c r="J5" s="22">
        <f>'Inputs'!$C$93</f>
        <v/>
      </c>
      <c r="K5" s="22">
        <f>SUM('Inputs'!$C$94)</f>
        <v/>
      </c>
      <c r="L5" s="22">
        <f>SUM('Inputs'!$C$95)</f>
        <v/>
      </c>
      <c r="M5" s="22">
        <f>E5+K5-L5</f>
        <v/>
      </c>
      <c r="N5" s="19">
        <f>M5/F5</f>
        <v/>
      </c>
      <c r="O5" s="19">
        <f>M5/H5</f>
        <v/>
      </c>
      <c r="P5" s="19">
        <f>E5/J5</f>
        <v/>
      </c>
      <c r="Q5" s="21">
        <f>(O5*$H$2-$K$2+$L$2)/'Inputs'!$C$25</f>
        <v/>
      </c>
      <c r="R5" s="21">
        <f>(N5*$F$2-$K$2+$L$2)/'Inputs'!$C$25</f>
        <v/>
      </c>
      <c r="S5" t="inlineStr">
        <is>
          <t>Commercial paper not found; identified debt only</t>
        </is>
      </c>
      <c r="T5" t="inlineStr">
        <is>
          <t>EBIT + Depreciation + AmortizationOfIntangibleAssets; excludes finance-lease ROU amortization</t>
        </is>
      </c>
    </row>
    <row r="6">
      <c r="A6" s="2" t="inlineStr">
        <is>
          <t>META</t>
        </is>
      </c>
      <c r="B6" s="2" t="inlineStr">
        <is>
          <t>FY2025</t>
        </is>
      </c>
      <c r="C6" s="2" t="inlineStr">
        <is>
          <t>Analysis-only (capture; not ingested)</t>
        </is>
      </c>
      <c r="D6" s="21">
        <f>'Inputs'!$C$128</f>
        <v/>
      </c>
      <c r="E6" s="22">
        <f>'Inputs'!$C$129</f>
        <v/>
      </c>
      <c r="F6" s="22">
        <f>'Inputs'!$C$97</f>
        <v/>
      </c>
      <c r="G6" s="22">
        <f>'Inputs'!$C$98</f>
        <v/>
      </c>
      <c r="H6" s="22">
        <f>G6+'Inputs'!$C$99+'Inputs'!$C$100</f>
        <v/>
      </c>
      <c r="I6" s="19">
        <f>H6/F6</f>
        <v/>
      </c>
      <c r="J6" s="22">
        <f>'Inputs'!$C$101</f>
        <v/>
      </c>
      <c r="K6" s="22">
        <f>SUM('Inputs'!$C$105)</f>
        <v/>
      </c>
      <c r="L6" s="22">
        <f>SUM('Inputs'!$C$106)</f>
        <v/>
      </c>
      <c r="M6" s="22">
        <f>E6+K6-L6</f>
        <v/>
      </c>
      <c r="N6" s="19">
        <f>M6/F6</f>
        <v/>
      </c>
      <c r="O6" s="19">
        <f>M6/H6</f>
        <v/>
      </c>
      <c r="P6" s="19">
        <f>E6/J6</f>
        <v/>
      </c>
      <c r="Q6" s="21">
        <f>(O6*$H$2-$K$2+$L$2)/'Inputs'!$C$25</f>
        <v/>
      </c>
      <c r="R6" s="21">
        <f>(N6*$F$2-$K$2+$L$2)/'Inputs'!$C$25</f>
        <v/>
      </c>
      <c r="S6" t="inlineStr">
        <is>
          <t>Current debt and commercial paper not found; identified debt is noncurrent only</t>
        </is>
      </c>
      <c r="T6" t="inlineStr">
        <is>
          <t>EBIT + Depreciation + AmortizationOfIntangibleAssets; excludes finance-lease ROU amortization</t>
        </is>
      </c>
    </row>
    <row r="7">
      <c r="A7" s="2" t="inlineStr">
        <is>
          <t>NVDA</t>
        </is>
      </c>
      <c r="B7" s="2" t="inlineStr">
        <is>
          <t>FY2026</t>
        </is>
      </c>
      <c r="C7" s="2" t="inlineStr">
        <is>
          <t>Analysis-only (capture; not ingested)</t>
        </is>
      </c>
      <c r="D7" s="21">
        <f>'Inputs'!$C$130</f>
        <v/>
      </c>
      <c r="E7" s="22">
        <f>'Inputs'!$C$131</f>
        <v/>
      </c>
      <c r="F7" s="22">
        <f>'Inputs'!$C$107</f>
        <v/>
      </c>
      <c r="G7" s="22">
        <f>'Inputs'!$C$108</f>
        <v/>
      </c>
      <c r="H7" s="22">
        <f>G7+'Inputs'!$C$109+'Inputs'!$C$110</f>
        <v/>
      </c>
      <c r="I7" s="19">
        <f>H7/F7</f>
        <v/>
      </c>
      <c r="J7" s="22">
        <f>'Inputs'!$C$111</f>
        <v/>
      </c>
      <c r="K7" s="22">
        <f>SUM('Inputs'!$C$112)</f>
        <v/>
      </c>
      <c r="L7" s="22">
        <f>SUM('Inputs'!$C$116)</f>
        <v/>
      </c>
      <c r="M7" s="22">
        <f>E7+K7-L7</f>
        <v/>
      </c>
      <c r="N7" s="19">
        <f>M7/F7</f>
        <v/>
      </c>
      <c r="O7" s="19">
        <f>M7/H7</f>
        <v/>
      </c>
      <c r="P7" s="19">
        <f>E7/J7</f>
        <v/>
      </c>
      <c r="Q7" s="21">
        <f>(O7*$H$2-$K$2+$L$2)/'Inputs'!$C$25</f>
        <v/>
      </c>
      <c r="R7" s="21">
        <f>(N7*$F$2-$K$2+$L$2)/'Inputs'!$C$25</f>
        <v/>
      </c>
      <c r="S7" t="inlineStr">
        <is>
          <t>FY2026 investments and commercial paper not found; identified cash only</t>
        </is>
      </c>
      <c r="T7" t="inlineStr">
        <is>
          <t>EBIT + Depreciation + AmortizationOfIntangibleAssets; excludes finance-lease ROU amortization</t>
        </is>
      </c>
    </row>
    <row r="8">
      <c r="A8" s="2" t="inlineStr">
        <is>
          <t>TSLA</t>
        </is>
      </c>
      <c r="B8" s="2" t="inlineStr">
        <is>
          <t>FY2025</t>
        </is>
      </c>
      <c r="C8" s="2" t="inlineStr">
        <is>
          <t>Analysis-only (capture; not ingested)</t>
        </is>
      </c>
      <c r="D8" s="21">
        <f>'Inputs'!$C$132</f>
        <v/>
      </c>
      <c r="E8" s="22">
        <f>'Inputs'!$C$133</f>
        <v/>
      </c>
      <c r="F8" s="22">
        <f>'Inputs'!$C$117</f>
        <v/>
      </c>
      <c r="G8" s="22">
        <f>'Inputs'!$C$118</f>
        <v/>
      </c>
      <c r="H8" s="22">
        <f>G8+'Inputs'!$C$119</f>
        <v/>
      </c>
      <c r="I8" s="19">
        <f>H8/F8</f>
        <v/>
      </c>
      <c r="J8" s="22">
        <f>'Inputs'!$C$120</f>
        <v/>
      </c>
      <c r="K8" s="22">
        <f>SUM('Inputs'!$C$121)</f>
        <v/>
      </c>
      <c r="L8" s="22">
        <f>SUM('Inputs'!$C$122)</f>
        <v/>
      </c>
      <c r="M8" s="22">
        <f>E8+K8-L8</f>
        <v/>
      </c>
      <c r="N8" s="19">
        <f>M8/F8</f>
        <v/>
      </c>
      <c r="O8" s="19">
        <f>M8/H8</f>
        <v/>
      </c>
      <c r="P8" s="19">
        <f>E8/J8</f>
        <v/>
      </c>
      <c r="Q8" s="21">
        <f>(O8*$H$2-$K$2+$L$2)/'Inputs'!$C$25</f>
        <v/>
      </c>
      <c r="R8" s="21">
        <f>(N8*$F$2-$K$2+$L$2)/'Inputs'!$C$25</f>
        <v/>
      </c>
      <c r="S8" t="inlineStr">
        <is>
          <t>Commercial paper not found; identified debt only</t>
        </is>
      </c>
      <c r="T8" t="inlineStr">
        <is>
          <t>EBIT + Depreciation only; no intangible amortization tag identified</t>
        </is>
      </c>
    </row>
    <row r="9">
      <c r="A9" s="4" t="n"/>
      <c r="B9" s="12" t="n"/>
      <c r="C9" s="12" t="n"/>
    </row>
    <row r="10" ht="33" customHeight="1">
      <c r="A10" s="23" t="inlineStr">
        <is>
          <t>* Enterprise values and multiples use identified balances only. Missing balances are unresolved, not assumed zero; see balance-sheet flags and the consolidated README appendix.</t>
        </is>
      </c>
    </row>
    <row r="11">
      <c r="A11" s="4" t="n"/>
      <c r="B11" s="15" t="n"/>
      <c r="C11" s="15" t="n"/>
    </row>
    <row r="12">
      <c r="A12" s="4" t="n"/>
      <c r="B12" s="15" t="n"/>
      <c r="C12" s="15" t="n"/>
    </row>
    <row r="13">
      <c r="A13" s="4" t="n"/>
      <c r="B13" s="4" t="n"/>
      <c r="C13" s="4" t="n"/>
    </row>
    <row r="14">
      <c r="A14" s="4" t="n"/>
      <c r="B14" s="12" t="n"/>
      <c r="C14" s="12" t="n"/>
    </row>
    <row r="15">
      <c r="A15" s="4" t="n"/>
      <c r="B15" s="12" t="n"/>
      <c r="C15" s="12" t="n"/>
    </row>
    <row r="16">
      <c r="A16" s="4" t="n"/>
      <c r="B16" s="12" t="n"/>
      <c r="C16" s="12" t="n"/>
    </row>
    <row r="17">
      <c r="A17" s="4" t="n"/>
      <c r="B17" s="12" t="n"/>
      <c r="C17" s="4" t="n"/>
    </row>
    <row r="18">
      <c r="A18" s="4" t="n"/>
      <c r="B18" s="12" t="n"/>
      <c r="C18" s="4" t="n"/>
    </row>
  </sheetData>
  <autoFilter ref="A1:T8"/>
  <mergeCells count="1">
    <mergeCell ref="A10:T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25" customWidth="1" min="4" max="4"/>
    <col width="20" customWidth="1" min="5" max="5"/>
    <col width="20" customWidth="1" min="6" max="6"/>
    <col hidden="1" width="14" customWidth="1" min="7" max="7"/>
    <col hidden="1" width="14" customWidth="1" min="8" max="8"/>
    <col width="63" customWidth="1" min="9" max="9"/>
  </cols>
  <sheetData>
    <row r="1">
      <c r="A1" s="1" t="inlineStr">
        <is>
          <t>Method</t>
        </is>
      </c>
      <c r="B1" s="1" t="inlineStr">
        <is>
          <t>Low ($/share)</t>
        </is>
      </c>
      <c r="C1" s="1" t="inlineStr">
        <is>
          <t>High ($/share)</t>
        </is>
      </c>
      <c r="D1" s="1" t="inlineStr">
        <is>
          <t>Apple market price ($/share)</t>
        </is>
      </c>
      <c r="E1" s="1" t="inlineStr">
        <is>
          <t>Low - market ($)</t>
        </is>
      </c>
      <c r="F1" s="1" t="inlineStr">
        <is>
          <t>High - market ($)</t>
        </is>
      </c>
      <c r="G1" t="inlineStr">
        <is>
          <t>Chart base</t>
        </is>
      </c>
      <c r="H1" t="inlineStr">
        <is>
          <t>Chart span</t>
        </is>
      </c>
      <c r="I1" t="inlineStr">
        <is>
          <t>Notes</t>
        </is>
      </c>
    </row>
    <row r="2">
      <c r="A2" s="2" t="inlineStr">
        <is>
          <t>DCF sensitivity</t>
        </is>
      </c>
      <c r="B2" s="24">
        <f>MIN('DCF'!B35:D37)</f>
        <v/>
      </c>
      <c r="C2" s="24">
        <f>MAX('DCF'!B35:D37)</f>
        <v/>
      </c>
      <c r="D2" s="24">
        <f>'Inputs'!$C$43</f>
        <v/>
      </c>
      <c r="E2" s="24">
        <f>B2-D2</f>
        <v/>
      </c>
      <c r="F2" s="24">
        <f>C2-D2</f>
        <v/>
      </c>
      <c r="G2" s="25">
        <f>B2</f>
        <v/>
      </c>
      <c r="H2" s="25">
        <f>C2-B2</f>
        <v/>
      </c>
      <c r="I2" t="inlineStr">
        <is>
          <t>Day 3 WACC / terminal-growth sensitivity grid</t>
        </is>
      </c>
    </row>
    <row r="3">
      <c r="A3" s="4" t="inlineStr">
        <is>
          <t>Materiality-screened EV / EBITDA (AAPL + MSFT* + GOOGL)</t>
        </is>
      </c>
      <c r="B3" s="26">
        <f>MIN('Comps'!Q2,'Comps'!Q3,'Comps'!Q4)</f>
        <v/>
      </c>
      <c r="C3" s="26">
        <f>MAX('Comps'!Q2,'Comps'!Q3,'Comps'!Q4)</f>
        <v/>
      </c>
      <c r="D3" s="26">
        <f>'Inputs'!$C$43</f>
        <v/>
      </c>
      <c r="E3" s="26">
        <f>B3-D3</f>
        <v/>
      </c>
      <c r="F3" s="26">
        <f>C3-D3</f>
        <v/>
      </c>
      <c r="G3" s="25">
        <f>B3</f>
        <v/>
      </c>
      <c r="H3" s="25">
        <f>C3-B3</f>
        <v/>
      </c>
      <c r="I3" t="inlineStr">
        <is>
          <t>Apple and Alphabet complete; Microsoft re-included using stated FY2026 CommercialPaper = $0.000bn assumption based on FY2025.</t>
        </is>
      </c>
    </row>
    <row r="4">
      <c r="A4" s="4" t="inlineStr">
        <is>
          <t>Materiality-screened EV / Revenue (AAPL + MSFT* + GOOGL)</t>
        </is>
      </c>
      <c r="B4" s="26">
        <f>MIN('Comps'!R2,'Comps'!R3,'Comps'!R4)</f>
        <v/>
      </c>
      <c r="C4" s="26">
        <f>MAX('Comps'!R2,'Comps'!R3,'Comps'!R4)</f>
        <v/>
      </c>
      <c r="D4" s="26">
        <f>'Inputs'!$C$43</f>
        <v/>
      </c>
      <c r="E4" s="26">
        <f>B4-D4</f>
        <v/>
      </c>
      <c r="F4" s="26">
        <f>C4-D4</f>
        <v/>
      </c>
      <c r="G4" s="25">
        <f>B4</f>
        <v/>
      </c>
      <c r="H4" s="25">
        <f>C4-B4</f>
        <v/>
      </c>
      <c r="I4" t="inlineStr">
        <is>
          <t>Apple and Alphabet complete; Microsoft re-included using stated FY2026 CommercialPaper = $0.000bn assumption based on FY2025.</t>
        </is>
      </c>
    </row>
    <row r="5">
      <c r="A5" s="4" t="inlineStr">
        <is>
          <t>Microsoft P/E (legacy point)</t>
        </is>
      </c>
      <c r="B5" s="26">
        <f>('Inputs'!$C$75*'Comps'!$J$2)/'Inputs'!$C$25</f>
        <v/>
      </c>
      <c r="C5" s="26">
        <f>('Inputs'!$C$75*'Comps'!$J$2)/'Inputs'!$C$25</f>
        <v/>
      </c>
      <c r="D5" s="26">
        <f>'Inputs'!$C$43</f>
        <v/>
      </c>
      <c r="E5" s="26">
        <f>B5-D5</f>
        <v/>
      </c>
      <c r="F5" s="26">
        <f>C5-D5</f>
        <v/>
      </c>
      <c r="G5" s="25">
        <f>B5</f>
        <v/>
      </c>
      <c r="H5" s="25">
        <f>C5-B5</f>
        <v/>
      </c>
      <c r="I5" t="inlineStr">
        <is>
          <t>Microsoft P/E is an equity multiple, not an EV multiple; retained as the prior point estimate.</t>
        </is>
      </c>
    </row>
    <row r="6">
      <c r="A6" s="4" t="inlineStr">
        <is>
          <t>LBO ability-to-pay</t>
        </is>
      </c>
      <c r="B6" s="26">
        <f>'LBO'!B54</f>
        <v/>
      </c>
      <c r="C6" s="26">
        <f>'LBO'!B54</f>
        <v/>
      </c>
      <c r="D6" s="26">
        <f>'Inputs'!$C$43</f>
        <v/>
      </c>
      <c r="E6" s="26">
        <f>B6-D6</f>
        <v/>
      </c>
      <c r="F6" s="26">
        <f>C6-D6</f>
        <v/>
      </c>
      <c r="G6" s="25">
        <f>B6</f>
        <v/>
      </c>
      <c r="H6" s="25">
        <f>C6-B6</f>
        <v/>
      </c>
      <c r="I6" t="inlineStr">
        <is>
          <t>Illustrative mechanics only; not a realistic deal thesis</t>
        </is>
      </c>
    </row>
    <row r="7">
      <c r="A7" s="4" t="n"/>
      <c r="B7" s="17" t="n"/>
      <c r="C7" s="17" t="n"/>
      <c r="D7" s="17" t="n"/>
      <c r="E7" s="17" t="n"/>
      <c r="F7" s="17" t="n"/>
      <c r="I7" t="inlineStr">
        <is>
          <t>* Microsoft re-included using a stated zero/near-zero assumption for CommercialPaper, based on the FY2025 value of $0.000bn at 2025-06-30. Amazon, Meta, NVIDIA, and Tesla remain excluded; see note below.</t>
        </is>
      </c>
    </row>
    <row r="8" ht="68" customHeight="1">
      <c r="A8" s="27" t="inlineStr">
        <is>
          <t>Materiality screen: Microsoft alone is re-included among previously excluded issuers, using FY2025 CommercialPaper of $0.000bn (2025-06-30) as an explicit assumption for missing FY2026 CommercialPaper, not a reported FY2026 fact. Amazon and Tesla CommercialPaper, and Meta current debt/commercial paper, have no adjacent low same-tag value; they remain excluded. NVIDIA FY2026 MarketableSecuritiesCurrent is missing; its FY2025 same-tag value was $34.621bn (2025-01-26), not low/near-zero, so NVIDIA remains excluded. This inclusion/exclusion rule is based on fact materiality, separately from ingestion status: Amazon is ingested but excluded; Microsoft is capture-only but re-included under assumption. NVIDIA and Meta remain excluded.</t>
        </is>
      </c>
    </row>
    <row r="9"/>
    <row r="10"/>
  </sheetData>
  <mergeCells count="1">
    <mergeCell ref="A8:I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Apple Day 3 DCF and Day 4 LBO Formula Models</dc:title>
  <dc:subject>Editable assumptions and formula-driven DCF, LBO, comps, football field</dc:subject>
  <dcterms:created xsi:type="dcterms:W3CDTF">2026-10-08T14:10:52Z</dcterms:created>
  <dcterms:modified xsi:type="dcterms:W3CDTF">2026-10-10T00:33:31Z</dcterms:modified>
</cp:coreProperties>
</file>